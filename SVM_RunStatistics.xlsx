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AntiPattern_Detection\revised_empirical_software_engineering\for github\"/>
    </mc:Choice>
  </mc:AlternateContent>
  <xr:revisionPtr revIDLastSave="0" documentId="13_ncr:1_{11F9B419-D5F4-478C-AAB7-7D9F169226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ority queue" sheetId="6" r:id="rId1"/>
    <sheet name="load balancing" sheetId="5" r:id="rId2"/>
    <sheet name="leader election" sheetId="4" r:id="rId3"/>
    <sheet name="discovery" sheetId="3" r:id="rId4"/>
    <sheet name="Cache-Aside" sheetId="2" r:id="rId5"/>
    <sheet name="api-gateway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2" l="1"/>
  <c r="K20" i="2"/>
  <c r="K37" i="2"/>
  <c r="K73" i="6"/>
  <c r="J73" i="6"/>
  <c r="I73" i="6"/>
  <c r="H73" i="6"/>
  <c r="K72" i="6"/>
  <c r="J72" i="6"/>
  <c r="I72" i="6"/>
  <c r="H72" i="6"/>
  <c r="K71" i="6"/>
  <c r="J71" i="6"/>
  <c r="I71" i="6"/>
  <c r="H71" i="6"/>
  <c r="K70" i="6"/>
  <c r="J70" i="6"/>
  <c r="I70" i="6"/>
  <c r="H70" i="6"/>
  <c r="K69" i="6"/>
  <c r="J69" i="6"/>
  <c r="I69" i="6"/>
  <c r="H69" i="6"/>
  <c r="K56" i="6"/>
  <c r="J56" i="6"/>
  <c r="I56" i="6"/>
  <c r="H56" i="6"/>
  <c r="K55" i="6"/>
  <c r="J55" i="6"/>
  <c r="I55" i="6"/>
  <c r="H55" i="6"/>
  <c r="K54" i="6"/>
  <c r="J54" i="6"/>
  <c r="I54" i="6"/>
  <c r="H54" i="6"/>
  <c r="K53" i="6"/>
  <c r="J53" i="6"/>
  <c r="I53" i="6"/>
  <c r="H53" i="6"/>
  <c r="K52" i="6"/>
  <c r="J52" i="6"/>
  <c r="I52" i="6"/>
  <c r="H52" i="6"/>
  <c r="K41" i="6"/>
  <c r="J41" i="6"/>
  <c r="I41" i="6"/>
  <c r="H41" i="6"/>
  <c r="K40" i="6"/>
  <c r="J40" i="6"/>
  <c r="I40" i="6"/>
  <c r="H40" i="6"/>
  <c r="K39" i="6"/>
  <c r="J39" i="6"/>
  <c r="I39" i="6"/>
  <c r="H39" i="6"/>
  <c r="K38" i="6"/>
  <c r="J38" i="6"/>
  <c r="I38" i="6"/>
  <c r="H38" i="6"/>
  <c r="K37" i="6"/>
  <c r="J37" i="6"/>
  <c r="I37" i="6"/>
  <c r="H37" i="6"/>
  <c r="K24" i="6"/>
  <c r="J24" i="6"/>
  <c r="I24" i="6"/>
  <c r="H24" i="6"/>
  <c r="K23" i="6"/>
  <c r="J23" i="6"/>
  <c r="I23" i="6"/>
  <c r="H23" i="6"/>
  <c r="K22" i="6"/>
  <c r="J22" i="6"/>
  <c r="I22" i="6"/>
  <c r="H22" i="6"/>
  <c r="K21" i="6"/>
  <c r="J21" i="6"/>
  <c r="I21" i="6"/>
  <c r="H21" i="6"/>
  <c r="K20" i="6"/>
  <c r="J20" i="6"/>
  <c r="I20" i="6"/>
  <c r="H20" i="6"/>
  <c r="K15" i="6"/>
  <c r="J15" i="6"/>
  <c r="I15" i="6"/>
  <c r="H15" i="6"/>
  <c r="K14" i="6"/>
  <c r="J14" i="6"/>
  <c r="I14" i="6"/>
  <c r="H14" i="6"/>
  <c r="K13" i="6"/>
  <c r="J13" i="6"/>
  <c r="I13" i="6"/>
  <c r="H13" i="6"/>
  <c r="K12" i="6"/>
  <c r="J12" i="6"/>
  <c r="I12" i="6"/>
  <c r="H12" i="6"/>
  <c r="K11" i="6"/>
  <c r="J11" i="6"/>
  <c r="I11" i="6"/>
  <c r="H11" i="6"/>
  <c r="K73" i="5"/>
  <c r="J73" i="5"/>
  <c r="I73" i="5"/>
  <c r="H73" i="5"/>
  <c r="K72" i="5"/>
  <c r="J72" i="5"/>
  <c r="I72" i="5"/>
  <c r="H72" i="5"/>
  <c r="K71" i="5"/>
  <c r="J71" i="5"/>
  <c r="I71" i="5"/>
  <c r="H71" i="5"/>
  <c r="K70" i="5"/>
  <c r="J70" i="5"/>
  <c r="I70" i="5"/>
  <c r="H70" i="5"/>
  <c r="K69" i="5"/>
  <c r="J69" i="5"/>
  <c r="I69" i="5"/>
  <c r="H69" i="5"/>
  <c r="K56" i="5"/>
  <c r="J56" i="5"/>
  <c r="I56" i="5"/>
  <c r="H56" i="5"/>
  <c r="K55" i="5"/>
  <c r="J55" i="5"/>
  <c r="I55" i="5"/>
  <c r="H55" i="5"/>
  <c r="K54" i="5"/>
  <c r="J54" i="5"/>
  <c r="I54" i="5"/>
  <c r="H54" i="5"/>
  <c r="K53" i="5"/>
  <c r="J53" i="5"/>
  <c r="I53" i="5"/>
  <c r="H53" i="5"/>
  <c r="K52" i="5"/>
  <c r="J52" i="5"/>
  <c r="I52" i="5"/>
  <c r="H52" i="5"/>
  <c r="K41" i="5"/>
  <c r="J41" i="5"/>
  <c r="I41" i="5"/>
  <c r="H41" i="5"/>
  <c r="K40" i="5"/>
  <c r="J40" i="5"/>
  <c r="I40" i="5"/>
  <c r="H40" i="5"/>
  <c r="K39" i="5"/>
  <c r="J39" i="5"/>
  <c r="I39" i="5"/>
  <c r="H39" i="5"/>
  <c r="K38" i="5"/>
  <c r="J38" i="5"/>
  <c r="I38" i="5"/>
  <c r="H38" i="5"/>
  <c r="K37" i="5"/>
  <c r="J37" i="5"/>
  <c r="I37" i="5"/>
  <c r="H37" i="5"/>
  <c r="K24" i="5"/>
  <c r="J24" i="5"/>
  <c r="I24" i="5"/>
  <c r="H24" i="5"/>
  <c r="K23" i="5"/>
  <c r="J23" i="5"/>
  <c r="I23" i="5"/>
  <c r="H23" i="5"/>
  <c r="K22" i="5"/>
  <c r="J22" i="5"/>
  <c r="I22" i="5"/>
  <c r="H22" i="5"/>
  <c r="K21" i="5"/>
  <c r="J21" i="5"/>
  <c r="I21" i="5"/>
  <c r="H21" i="5"/>
  <c r="K20" i="5"/>
  <c r="J20" i="5"/>
  <c r="I20" i="5"/>
  <c r="H20" i="5"/>
  <c r="K15" i="5"/>
  <c r="J15" i="5"/>
  <c r="I15" i="5"/>
  <c r="H15" i="5"/>
  <c r="K14" i="5"/>
  <c r="J14" i="5"/>
  <c r="I14" i="5"/>
  <c r="H14" i="5"/>
  <c r="K13" i="5"/>
  <c r="J13" i="5"/>
  <c r="I13" i="5"/>
  <c r="H13" i="5"/>
  <c r="K12" i="5"/>
  <c r="J12" i="5"/>
  <c r="I12" i="5"/>
  <c r="H12" i="5"/>
  <c r="K11" i="5"/>
  <c r="J11" i="5"/>
  <c r="I11" i="5"/>
  <c r="H11" i="5"/>
  <c r="K73" i="4"/>
  <c r="J73" i="4"/>
  <c r="I73" i="4"/>
  <c r="H73" i="4"/>
  <c r="K72" i="4"/>
  <c r="J72" i="4"/>
  <c r="I72" i="4"/>
  <c r="H72" i="4"/>
  <c r="K71" i="4"/>
  <c r="J71" i="4"/>
  <c r="I71" i="4"/>
  <c r="H71" i="4"/>
  <c r="K70" i="4"/>
  <c r="J70" i="4"/>
  <c r="I70" i="4"/>
  <c r="H70" i="4"/>
  <c r="K69" i="4"/>
  <c r="J69" i="4"/>
  <c r="I69" i="4"/>
  <c r="H69" i="4"/>
  <c r="K56" i="4"/>
  <c r="J56" i="4"/>
  <c r="I56" i="4"/>
  <c r="H56" i="4"/>
  <c r="K55" i="4"/>
  <c r="J55" i="4"/>
  <c r="I55" i="4"/>
  <c r="H55" i="4"/>
  <c r="K54" i="4"/>
  <c r="J54" i="4"/>
  <c r="I54" i="4"/>
  <c r="H54" i="4"/>
  <c r="K53" i="4"/>
  <c r="J53" i="4"/>
  <c r="I53" i="4"/>
  <c r="H53" i="4"/>
  <c r="K52" i="4"/>
  <c r="J52" i="4"/>
  <c r="I52" i="4"/>
  <c r="H52" i="4"/>
  <c r="K41" i="4"/>
  <c r="J41" i="4"/>
  <c r="I41" i="4"/>
  <c r="H41" i="4"/>
  <c r="K40" i="4"/>
  <c r="J40" i="4"/>
  <c r="I40" i="4"/>
  <c r="H40" i="4"/>
  <c r="K39" i="4"/>
  <c r="J39" i="4"/>
  <c r="I39" i="4"/>
  <c r="H39" i="4"/>
  <c r="K38" i="4"/>
  <c r="J38" i="4"/>
  <c r="I38" i="4"/>
  <c r="H38" i="4"/>
  <c r="K37" i="4"/>
  <c r="J37" i="4"/>
  <c r="I37" i="4"/>
  <c r="H37" i="4"/>
  <c r="K24" i="4"/>
  <c r="J24" i="4"/>
  <c r="I24" i="4"/>
  <c r="H24" i="4"/>
  <c r="K23" i="4"/>
  <c r="J23" i="4"/>
  <c r="I23" i="4"/>
  <c r="H23" i="4"/>
  <c r="K22" i="4"/>
  <c r="J22" i="4"/>
  <c r="I22" i="4"/>
  <c r="H22" i="4"/>
  <c r="K21" i="4"/>
  <c r="J21" i="4"/>
  <c r="I21" i="4"/>
  <c r="H21" i="4"/>
  <c r="K20" i="4"/>
  <c r="J20" i="4"/>
  <c r="I20" i="4"/>
  <c r="H20" i="4"/>
  <c r="K15" i="4"/>
  <c r="J15" i="4"/>
  <c r="I15" i="4"/>
  <c r="H15" i="4"/>
  <c r="K14" i="4"/>
  <c r="J14" i="4"/>
  <c r="I14" i="4"/>
  <c r="H14" i="4"/>
  <c r="K13" i="4"/>
  <c r="J13" i="4"/>
  <c r="I13" i="4"/>
  <c r="H13" i="4"/>
  <c r="K12" i="4"/>
  <c r="J12" i="4"/>
  <c r="I12" i="4"/>
  <c r="H12" i="4"/>
  <c r="K11" i="4"/>
  <c r="J11" i="4"/>
  <c r="I11" i="4"/>
  <c r="H11" i="4"/>
  <c r="K73" i="3"/>
  <c r="J73" i="3"/>
  <c r="I73" i="3"/>
  <c r="H73" i="3"/>
  <c r="K72" i="3"/>
  <c r="J72" i="3"/>
  <c r="I72" i="3"/>
  <c r="H72" i="3"/>
  <c r="K71" i="3"/>
  <c r="J71" i="3"/>
  <c r="I71" i="3"/>
  <c r="H71" i="3"/>
  <c r="K70" i="3"/>
  <c r="J70" i="3"/>
  <c r="I70" i="3"/>
  <c r="H70" i="3"/>
  <c r="K69" i="3"/>
  <c r="J69" i="3"/>
  <c r="I69" i="3"/>
  <c r="H69" i="3"/>
  <c r="K56" i="3"/>
  <c r="J56" i="3"/>
  <c r="I56" i="3"/>
  <c r="H56" i="3"/>
  <c r="K55" i="3"/>
  <c r="J55" i="3"/>
  <c r="I55" i="3"/>
  <c r="H55" i="3"/>
  <c r="K54" i="3"/>
  <c r="J54" i="3"/>
  <c r="I54" i="3"/>
  <c r="H54" i="3"/>
  <c r="K53" i="3"/>
  <c r="J53" i="3"/>
  <c r="I53" i="3"/>
  <c r="H53" i="3"/>
  <c r="K52" i="3"/>
  <c r="J52" i="3"/>
  <c r="I52" i="3"/>
  <c r="H52" i="3"/>
  <c r="K41" i="3"/>
  <c r="J41" i="3"/>
  <c r="I41" i="3"/>
  <c r="H41" i="3"/>
  <c r="K40" i="3"/>
  <c r="J40" i="3"/>
  <c r="I40" i="3"/>
  <c r="H40" i="3"/>
  <c r="K39" i="3"/>
  <c r="J39" i="3"/>
  <c r="I39" i="3"/>
  <c r="H39" i="3"/>
  <c r="K38" i="3"/>
  <c r="J38" i="3"/>
  <c r="I38" i="3"/>
  <c r="H38" i="3"/>
  <c r="K37" i="3"/>
  <c r="J37" i="3"/>
  <c r="I37" i="3"/>
  <c r="H37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73" i="2"/>
  <c r="J73" i="2"/>
  <c r="I73" i="2"/>
  <c r="H73" i="2"/>
  <c r="K72" i="2"/>
  <c r="J72" i="2"/>
  <c r="I72" i="2"/>
  <c r="H72" i="2"/>
  <c r="K71" i="2"/>
  <c r="J71" i="2"/>
  <c r="I71" i="2"/>
  <c r="H71" i="2"/>
  <c r="K70" i="2"/>
  <c r="J70" i="2"/>
  <c r="I70" i="2"/>
  <c r="H70" i="2"/>
  <c r="K69" i="2"/>
  <c r="J69" i="2"/>
  <c r="I69" i="2"/>
  <c r="H69" i="2"/>
  <c r="K56" i="2"/>
  <c r="J56" i="2"/>
  <c r="I56" i="2"/>
  <c r="H56" i="2"/>
  <c r="K55" i="2"/>
  <c r="J55" i="2"/>
  <c r="I55" i="2"/>
  <c r="H55" i="2"/>
  <c r="K54" i="2"/>
  <c r="J54" i="2"/>
  <c r="I54" i="2"/>
  <c r="H54" i="2"/>
  <c r="K53" i="2"/>
  <c r="J53" i="2"/>
  <c r="I53" i="2"/>
  <c r="H53" i="2"/>
  <c r="K52" i="2"/>
  <c r="J52" i="2"/>
  <c r="I52" i="2"/>
  <c r="H52" i="2"/>
  <c r="K41" i="2"/>
  <c r="J41" i="2"/>
  <c r="I41" i="2"/>
  <c r="H41" i="2"/>
  <c r="K40" i="2"/>
  <c r="J40" i="2"/>
  <c r="I40" i="2"/>
  <c r="H40" i="2"/>
  <c r="K39" i="2"/>
  <c r="J39" i="2"/>
  <c r="I39" i="2"/>
  <c r="H39" i="2"/>
  <c r="K38" i="2"/>
  <c r="J38" i="2"/>
  <c r="I38" i="2"/>
  <c r="H38" i="2"/>
  <c r="J37" i="2"/>
  <c r="I37" i="2"/>
  <c r="K24" i="2"/>
  <c r="J24" i="2"/>
  <c r="I24" i="2"/>
  <c r="H24" i="2"/>
  <c r="K23" i="2"/>
  <c r="J23" i="2"/>
  <c r="I23" i="2"/>
  <c r="H23" i="2"/>
  <c r="K22" i="2"/>
  <c r="J22" i="2"/>
  <c r="I22" i="2"/>
  <c r="H22" i="2"/>
  <c r="K21" i="2"/>
  <c r="J21" i="2"/>
  <c r="I21" i="2"/>
  <c r="H21" i="2"/>
  <c r="J20" i="2"/>
  <c r="I20" i="2"/>
  <c r="H20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K73" i="1"/>
  <c r="J73" i="1"/>
  <c r="I73" i="1"/>
  <c r="H73" i="1"/>
  <c r="K72" i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K56" i="1"/>
  <c r="J56" i="1"/>
  <c r="I56" i="1"/>
  <c r="H56" i="1"/>
  <c r="K55" i="1"/>
  <c r="J55" i="1"/>
  <c r="I55" i="1"/>
  <c r="H55" i="1"/>
  <c r="K54" i="1"/>
  <c r="J54" i="1"/>
  <c r="I54" i="1"/>
  <c r="H54" i="1"/>
  <c r="H53" i="1"/>
  <c r="K53" i="1"/>
  <c r="J53" i="1"/>
  <c r="I53" i="1"/>
  <c r="K52" i="1"/>
  <c r="J52" i="1"/>
  <c r="I52" i="1"/>
  <c r="H5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J20" i="1"/>
  <c r="K20" i="1"/>
  <c r="H20" i="1"/>
  <c r="I20" i="1"/>
  <c r="I11" i="1"/>
  <c r="H11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4" i="1"/>
  <c r="H3" i="1"/>
  <c r="K7" i="6"/>
  <c r="J7" i="6"/>
  <c r="I7" i="6"/>
  <c r="H7" i="6"/>
  <c r="K6" i="6"/>
  <c r="J6" i="6"/>
  <c r="I6" i="6"/>
  <c r="H6" i="6"/>
  <c r="K5" i="6"/>
  <c r="J5" i="6"/>
  <c r="I5" i="6"/>
  <c r="H5" i="6"/>
  <c r="K4" i="6"/>
  <c r="J4" i="6"/>
  <c r="I4" i="6"/>
  <c r="H4" i="6"/>
  <c r="K3" i="6"/>
  <c r="J3" i="6"/>
  <c r="I3" i="6"/>
  <c r="H3" i="6"/>
  <c r="K7" i="5"/>
  <c r="J7" i="5"/>
  <c r="I7" i="5"/>
  <c r="H7" i="5"/>
  <c r="K6" i="5"/>
  <c r="J6" i="5"/>
  <c r="I6" i="5"/>
  <c r="H6" i="5"/>
  <c r="K5" i="5"/>
  <c r="J5" i="5"/>
  <c r="I5" i="5"/>
  <c r="H5" i="5"/>
  <c r="K4" i="5"/>
  <c r="J4" i="5"/>
  <c r="I4" i="5"/>
  <c r="H4" i="5"/>
  <c r="K3" i="5"/>
  <c r="J3" i="5"/>
  <c r="I3" i="5"/>
  <c r="H3" i="5"/>
  <c r="K7" i="4"/>
  <c r="J7" i="4"/>
  <c r="I7" i="4"/>
  <c r="H7" i="4"/>
  <c r="K6" i="4"/>
  <c r="J6" i="4"/>
  <c r="I6" i="4"/>
  <c r="H6" i="4"/>
  <c r="K5" i="4"/>
  <c r="J5" i="4"/>
  <c r="I5" i="4"/>
  <c r="H5" i="4"/>
  <c r="K4" i="4"/>
  <c r="J4" i="4"/>
  <c r="I4" i="4"/>
  <c r="H4" i="4"/>
  <c r="K3" i="4"/>
  <c r="J3" i="4"/>
  <c r="I3" i="4"/>
  <c r="H3" i="4"/>
  <c r="K3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J3" i="3"/>
  <c r="I3" i="3"/>
  <c r="H3" i="3"/>
  <c r="H3" i="2"/>
  <c r="J3" i="2"/>
  <c r="K7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H4" i="2"/>
  <c r="K3" i="2"/>
  <c r="I3" i="2"/>
  <c r="H4" i="1"/>
  <c r="K7" i="1"/>
  <c r="J7" i="1"/>
  <c r="H7" i="1"/>
  <c r="I7" i="1"/>
  <c r="K6" i="1"/>
  <c r="J6" i="1"/>
  <c r="I6" i="1"/>
  <c r="H6" i="1"/>
  <c r="J5" i="1"/>
  <c r="K5" i="1"/>
  <c r="I5" i="1"/>
  <c r="H5" i="1"/>
  <c r="J4" i="1"/>
  <c r="K4" i="1"/>
  <c r="I3" i="1"/>
  <c r="K3" i="1"/>
  <c r="J3" i="1"/>
</calcChain>
</file>

<file path=xl/sharedStrings.xml><?xml version="1.0" encoding="utf-8"?>
<sst xmlns="http://schemas.openxmlformats.org/spreadsheetml/2006/main" count="1011" uniqueCount="23">
  <si>
    <t>Pattern Name</t>
  </si>
  <si>
    <t>percent training</t>
  </si>
  <si>
    <t>iteration</t>
  </si>
  <si>
    <t>Precision</t>
  </si>
  <si>
    <t>Recall</t>
  </si>
  <si>
    <t>Level Complexity</t>
  </si>
  <si>
    <t>api gateway</t>
  </si>
  <si>
    <t>L1</t>
  </si>
  <si>
    <t>L2</t>
  </si>
  <si>
    <t>L3</t>
  </si>
  <si>
    <t>L4</t>
  </si>
  <si>
    <t>L5</t>
  </si>
  <si>
    <t>number of records</t>
  </si>
  <si>
    <t>cache aside</t>
  </si>
  <si>
    <t>discovery</t>
  </si>
  <si>
    <t>leader election</t>
  </si>
  <si>
    <t>load balancing</t>
  </si>
  <si>
    <t>priority queue</t>
  </si>
  <si>
    <t>N/A</t>
  </si>
  <si>
    <t>total iterations</t>
  </si>
  <si>
    <t xml:space="preserve">iteration 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</si>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</sst>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1E99-3A4F-4D30-B0B9-D3D026E06129}">
  <dimension ref="A1:M80"/>
  <sheetViews>
    <sheetView tabSelected="1" workbookViewId="0">
      <selection activeCell="H68" sqref="H68:K68"/>
    </sheetView>
  </sheetViews>
  <sheetFormatPr defaultRowHeight="14.5" x14ac:dyDescent="0.35"/>
  <cols>
    <col min="1" max="1" width="18.54296875" customWidth="1"/>
    <col min="2" max="2" width="16.26953125" style="1" customWidth="1"/>
    <col min="3" max="3" width="21.54296875" style="1" customWidth="1"/>
    <col min="4" max="5" width="18.54296875" style="1" customWidth="1"/>
    <col min="6" max="6" width="15.26953125" style="1" customWidth="1"/>
    <col min="7" max="7" width="13.08984375" style="1" customWidth="1"/>
    <col min="9" max="9" width="20.90625" customWidth="1"/>
    <col min="11" max="11" width="20.36328125" customWidth="1"/>
  </cols>
  <sheetData>
    <row r="1" spans="1:13" x14ac:dyDescent="0.35">
      <c r="A1" t="s">
        <v>0</v>
      </c>
      <c r="B1" s="1" t="s">
        <v>2</v>
      </c>
      <c r="C1" s="1" t="s">
        <v>1</v>
      </c>
      <c r="D1" s="1" t="s">
        <v>5</v>
      </c>
      <c r="E1" s="1" t="s">
        <v>12</v>
      </c>
      <c r="F1" s="1" t="s">
        <v>3</v>
      </c>
      <c r="G1" s="1" t="s">
        <v>4</v>
      </c>
      <c r="H1" s="6" t="s">
        <v>3</v>
      </c>
      <c r="I1" s="6"/>
      <c r="J1" s="7" t="s">
        <v>4</v>
      </c>
      <c r="K1" s="7"/>
    </row>
    <row r="2" spans="1:13" x14ac:dyDescent="0.35">
      <c r="A2" s="8" t="s">
        <v>17</v>
      </c>
      <c r="B2" s="2">
        <v>1</v>
      </c>
      <c r="C2" s="2">
        <v>0.5</v>
      </c>
      <c r="D2" s="2" t="s">
        <v>7</v>
      </c>
      <c r="E2" s="2">
        <v>114</v>
      </c>
      <c r="F2" s="2"/>
      <c r="G2" s="2">
        <v>0</v>
      </c>
      <c r="H2" t="s">
        <v>21</v>
      </c>
      <c r="I2" t="s">
        <v>22</v>
      </c>
      <c r="J2" t="s">
        <v>21</v>
      </c>
      <c r="K2" t="s">
        <v>22</v>
      </c>
    </row>
    <row r="3" spans="1:13" x14ac:dyDescent="0.35">
      <c r="A3" s="8"/>
      <c r="B3" s="2">
        <v>1</v>
      </c>
      <c r="C3" s="2">
        <v>0.5</v>
      </c>
      <c r="D3" s="2" t="s">
        <v>8</v>
      </c>
      <c r="E3" s="2">
        <v>266</v>
      </c>
      <c r="F3" s="2">
        <v>100</v>
      </c>
      <c r="G3" s="2">
        <v>100</v>
      </c>
      <c r="H3" s="1">
        <f>AVERAGE(F2,F7,F12,F18,F23,F28,F34,F39,F44,F50,F55,F60,F66,F71,F76)</f>
        <v>100</v>
      </c>
      <c r="I3" s="1">
        <f>_xlfn.STDEV.S(F2,F7,F12,F18,F23,F28,F34,F39,F44,F50,F55,F60,F66,F71,F76)</f>
        <v>0</v>
      </c>
      <c r="J3" s="1">
        <f>AVERAGE(G2,G7,G12,G18,G23,G28,G34,G39,G44,G50,G55,G60,G66,G71,G76)</f>
        <v>86.666666666666671</v>
      </c>
      <c r="K3" s="1">
        <f>_xlfn.STDEV.S(G2,G7,G12,G18,G23,G28,G34,G39,G44,G50,G55,G60,G66,G71,G76)</f>
        <v>35.186577527449835</v>
      </c>
      <c r="L3" s="1" t="s">
        <v>7</v>
      </c>
    </row>
    <row r="4" spans="1:13" x14ac:dyDescent="0.35">
      <c r="A4" s="8"/>
      <c r="B4" s="2">
        <v>1</v>
      </c>
      <c r="C4" s="2">
        <v>0.5</v>
      </c>
      <c r="D4" s="2" t="s">
        <v>9</v>
      </c>
      <c r="E4" s="2">
        <v>570</v>
      </c>
      <c r="F4" s="2">
        <v>100</v>
      </c>
      <c r="G4" s="2">
        <v>100</v>
      </c>
      <c r="H4" s="1">
        <f>AVERAGE(F3,F8,F13,F19,F24,F29,F35,F40,F45,F51,F56,F61,F67,F72,F77)</f>
        <v>100</v>
      </c>
      <c r="I4" s="1">
        <f>_xlfn.STDEV.S(F3,F8,F13,F19,F24,F29,F35,F40,F45,F51,F56,F61,F67,F72,F77)</f>
        <v>0</v>
      </c>
      <c r="J4" s="1">
        <f>AVERAGE(G3,G8,G13,G19,G24,G29,G35,G40,G45,G51,G56,G61,G67,G72,G77)</f>
        <v>100</v>
      </c>
      <c r="K4" s="1">
        <f>_xlfn.STDEV.S(G3,G8,G13,G19,G24,G29,G35,G40,G45,G51,G56,G61,G67,G72,G77)</f>
        <v>0</v>
      </c>
      <c r="L4" s="1" t="s">
        <v>8</v>
      </c>
    </row>
    <row r="5" spans="1:13" x14ac:dyDescent="0.35">
      <c r="A5" s="8"/>
      <c r="B5" s="2">
        <v>1</v>
      </c>
      <c r="C5" s="2">
        <v>0.5</v>
      </c>
      <c r="D5" s="2" t="s">
        <v>10</v>
      </c>
      <c r="E5" s="2">
        <v>950</v>
      </c>
      <c r="F5" s="2">
        <v>100</v>
      </c>
      <c r="G5" s="2">
        <v>100</v>
      </c>
      <c r="H5" s="1">
        <f>AVERAGE(F4,F9,F14,F20,F25,F30,F36,F41,F46,F52,F57,F62,F68,F73,F78)</f>
        <v>100</v>
      </c>
      <c r="I5" s="1">
        <f>_xlfn.STDEV.S(F4,F9,F14,F20,F25,F30,F36,F41,F46,F52,F57,F62,F68,F73,F78)</f>
        <v>0</v>
      </c>
      <c r="J5" s="1">
        <f>AVERAGE(G4,G9,G14,G20,G25,G30,G36,G41,G46,G52,G57,G62,G68,G73,G78)</f>
        <v>100</v>
      </c>
      <c r="K5" s="1">
        <f>_xlfn.STDEV.S(G4,G9,G14,G20,G25,G30,G36,G41,G46,G52,G57,G62,G68,G73,G78)</f>
        <v>0</v>
      </c>
      <c r="L5" s="1" t="s">
        <v>9</v>
      </c>
    </row>
    <row r="6" spans="1:13" x14ac:dyDescent="0.35">
      <c r="A6" s="8"/>
      <c r="B6" s="2">
        <v>1</v>
      </c>
      <c r="C6" s="2">
        <v>0.5</v>
      </c>
      <c r="D6" s="2" t="s">
        <v>11</v>
      </c>
      <c r="E6" s="2">
        <v>1900</v>
      </c>
      <c r="F6" s="2">
        <v>100</v>
      </c>
      <c r="G6" s="2">
        <v>100</v>
      </c>
      <c r="H6" s="1">
        <f>AVERAGE(F5,F10,F15,F21,F26,F31,F37,F42,F47,F53,F58,F63,F69,F74,F79)</f>
        <v>100</v>
      </c>
      <c r="I6" s="1">
        <f>_xlfn.STDEV.S(F5,F10,F15,F21,F26,F31,F37,F42,F47,F53,F58,F63,F69,F74,F79)</f>
        <v>0</v>
      </c>
      <c r="J6" s="1">
        <f>AVERAGE(G5,G10,G15,G21,G26,G31,G37,G42,G47,G53,G58,G63,G69,G74,G79)</f>
        <v>100</v>
      </c>
      <c r="K6" s="1">
        <f>_xlfn.STDEV.S(G5,G10,G15,G21,G26,G31,G37,G42,G47,G53,G58,G63,G69,G74,G79)</f>
        <v>0</v>
      </c>
      <c r="L6" s="1" t="s">
        <v>10</v>
      </c>
    </row>
    <row r="7" spans="1:13" x14ac:dyDescent="0.35">
      <c r="A7" s="9" t="s">
        <v>17</v>
      </c>
      <c r="B7" s="3">
        <v>1</v>
      </c>
      <c r="C7" s="3">
        <v>0.65</v>
      </c>
      <c r="D7" s="3" t="s">
        <v>7</v>
      </c>
      <c r="E7" s="3">
        <v>114</v>
      </c>
      <c r="F7" s="3">
        <v>100</v>
      </c>
      <c r="G7" s="3">
        <v>100</v>
      </c>
      <c r="H7" s="1">
        <f>AVERAGE(F6,F11,F16,F22,F27,F32,F38,F43,F48,F54,F59,F64,F70,F75,F80)</f>
        <v>100</v>
      </c>
      <c r="I7" s="1">
        <f>_xlfn.STDEV.S(F6,F11,F16,F22,F27,F32,F38,F43,F48,F54,F59,F64,F70,F75,F80)</f>
        <v>0</v>
      </c>
      <c r="J7" s="1">
        <f>AVERAGE(G6,G11,G16,G22,G27,G32,G38,G43,G48,G54,G59,G64,G70,G75,G80)</f>
        <v>100</v>
      </c>
      <c r="K7" s="1">
        <f>_xlfn.STDEV.S(G6,G11,G16,G22,G27,G32,G38,G43,G48,G54,G59,G64,G70,G75,G80)</f>
        <v>0</v>
      </c>
      <c r="L7" s="1" t="s">
        <v>11</v>
      </c>
    </row>
    <row r="8" spans="1:13" x14ac:dyDescent="0.35">
      <c r="A8" s="9"/>
      <c r="B8" s="3">
        <v>1</v>
      </c>
      <c r="C8" s="3">
        <v>0.65</v>
      </c>
      <c r="D8" s="3" t="s">
        <v>8</v>
      </c>
      <c r="E8" s="3">
        <v>266</v>
      </c>
      <c r="F8" s="3">
        <v>100</v>
      </c>
      <c r="G8" s="3">
        <v>100</v>
      </c>
    </row>
    <row r="9" spans="1:13" x14ac:dyDescent="0.35">
      <c r="A9" s="9"/>
      <c r="B9" s="3">
        <v>1</v>
      </c>
      <c r="C9" s="3">
        <v>0.65</v>
      </c>
      <c r="D9" s="3" t="s">
        <v>9</v>
      </c>
      <c r="E9" s="3">
        <v>570</v>
      </c>
      <c r="F9" s="3">
        <v>100</v>
      </c>
      <c r="G9" s="3">
        <v>100</v>
      </c>
      <c r="H9" s="6" t="s">
        <v>3</v>
      </c>
      <c r="I9" s="6"/>
      <c r="J9" s="7" t="s">
        <v>4</v>
      </c>
      <c r="K9" s="7"/>
    </row>
    <row r="10" spans="1:13" x14ac:dyDescent="0.35">
      <c r="A10" s="9"/>
      <c r="B10" s="3">
        <v>1</v>
      </c>
      <c r="C10" s="3">
        <v>0.65</v>
      </c>
      <c r="D10" s="3" t="s">
        <v>10</v>
      </c>
      <c r="E10" s="3">
        <v>950</v>
      </c>
      <c r="F10" s="3">
        <v>100</v>
      </c>
      <c r="G10" s="3">
        <v>100</v>
      </c>
      <c r="H10" t="s">
        <v>21</v>
      </c>
      <c r="I10" t="s">
        <v>22</v>
      </c>
      <c r="J10" t="s">
        <v>21</v>
      </c>
      <c r="K10" t="s">
        <v>22</v>
      </c>
      <c r="L10" s="1" t="s">
        <v>20</v>
      </c>
    </row>
    <row r="11" spans="1:13" x14ac:dyDescent="0.35">
      <c r="A11" s="9"/>
      <c r="B11" s="3">
        <v>1</v>
      </c>
      <c r="C11" s="3">
        <v>0.65</v>
      </c>
      <c r="D11" s="3" t="s">
        <v>11</v>
      </c>
      <c r="E11" s="3">
        <v>1900</v>
      </c>
      <c r="F11" s="3">
        <v>100</v>
      </c>
      <c r="G11" s="3">
        <v>100</v>
      </c>
      <c r="H11">
        <f>AVERAGE(F2,F7,F12)</f>
        <v>100</v>
      </c>
      <c r="I11">
        <f>_xlfn.STDEV.S(F2,F7,F12)</f>
        <v>0</v>
      </c>
      <c r="J11">
        <f>AVERAGE(G2,G7,G12)</f>
        <v>66.666666666666671</v>
      </c>
      <c r="K11">
        <f>_xlfn.STDEV.S(G2,G7,G12)</f>
        <v>57.735026918962575</v>
      </c>
      <c r="L11" s="1">
        <v>1</v>
      </c>
      <c r="M11" s="1" t="s">
        <v>7</v>
      </c>
    </row>
    <row r="12" spans="1:13" x14ac:dyDescent="0.35">
      <c r="A12" s="8" t="s">
        <v>17</v>
      </c>
      <c r="B12" s="2">
        <v>1</v>
      </c>
      <c r="C12" s="2">
        <v>0.8</v>
      </c>
      <c r="D12" s="2" t="s">
        <v>7</v>
      </c>
      <c r="E12" s="2">
        <v>114</v>
      </c>
      <c r="F12" s="2">
        <v>100</v>
      </c>
      <c r="G12" s="2">
        <v>100</v>
      </c>
      <c r="H12">
        <f>AVERAGE(F3,F8,F13)</f>
        <v>100</v>
      </c>
      <c r="I12">
        <f>_xlfn.STDEV.S(F3,F8,F13)</f>
        <v>0</v>
      </c>
      <c r="J12">
        <f>AVERAGE(G3,G8,G13)</f>
        <v>100</v>
      </c>
      <c r="K12">
        <f>_xlfn.STDEV.S(G3,G8,G13)</f>
        <v>0</v>
      </c>
      <c r="L12" s="1">
        <v>1</v>
      </c>
      <c r="M12" s="1" t="s">
        <v>8</v>
      </c>
    </row>
    <row r="13" spans="1:13" x14ac:dyDescent="0.35">
      <c r="A13" s="8"/>
      <c r="B13" s="2">
        <v>1</v>
      </c>
      <c r="C13" s="2">
        <v>0.8</v>
      </c>
      <c r="D13" s="2" t="s">
        <v>8</v>
      </c>
      <c r="E13" s="2">
        <v>266</v>
      </c>
      <c r="F13" s="2">
        <v>100</v>
      </c>
      <c r="G13" s="2">
        <v>100</v>
      </c>
      <c r="H13">
        <f>AVERAGE(F4,F9,F14)</f>
        <v>100</v>
      </c>
      <c r="I13">
        <f>_xlfn.STDEV.S(F4,F9,F14)</f>
        <v>0</v>
      </c>
      <c r="J13">
        <f>AVERAGE(G4,G9,G14)</f>
        <v>100</v>
      </c>
      <c r="K13">
        <f>_xlfn.STDEV.S(G4,G9,G14)</f>
        <v>0</v>
      </c>
      <c r="L13" s="1">
        <v>1</v>
      </c>
      <c r="M13" s="1" t="s">
        <v>9</v>
      </c>
    </row>
    <row r="14" spans="1:13" x14ac:dyDescent="0.35">
      <c r="A14" s="8"/>
      <c r="B14" s="2">
        <v>1</v>
      </c>
      <c r="C14" s="2">
        <v>0.8</v>
      </c>
      <c r="D14" s="2" t="s">
        <v>9</v>
      </c>
      <c r="E14" s="2">
        <v>570</v>
      </c>
      <c r="F14" s="2">
        <v>100</v>
      </c>
      <c r="G14" s="2">
        <v>100</v>
      </c>
      <c r="H14">
        <f>AVERAGE(F5,F10,F15)</f>
        <v>100</v>
      </c>
      <c r="I14">
        <f>_xlfn.STDEV.S(F5,F10,F15)</f>
        <v>0</v>
      </c>
      <c r="J14">
        <f>AVERAGE(G5,G10,G15)</f>
        <v>100</v>
      </c>
      <c r="K14">
        <f>_xlfn.STDEV.S(G5,G10,G15)</f>
        <v>0</v>
      </c>
      <c r="L14" s="1">
        <v>1</v>
      </c>
      <c r="M14" s="1" t="s">
        <v>10</v>
      </c>
    </row>
    <row r="15" spans="1:13" x14ac:dyDescent="0.35">
      <c r="A15" s="8"/>
      <c r="B15" s="2">
        <v>1</v>
      </c>
      <c r="C15" s="2">
        <v>0.8</v>
      </c>
      <c r="D15" s="2" t="s">
        <v>10</v>
      </c>
      <c r="E15" s="2">
        <v>950</v>
      </c>
      <c r="F15" s="2">
        <v>100</v>
      </c>
      <c r="G15" s="2">
        <v>100</v>
      </c>
      <c r="H15">
        <f>AVERAGE(F6,F11,F16)</f>
        <v>100</v>
      </c>
      <c r="I15">
        <f>_xlfn.STDEV.S(F6,F11,F16)</f>
        <v>0</v>
      </c>
      <c r="J15">
        <f>AVERAGE(G6,G11,G16)</f>
        <v>100</v>
      </c>
      <c r="K15">
        <f>_xlfn.STDEV.S(G6,G11,G16)</f>
        <v>0</v>
      </c>
      <c r="L15" s="1">
        <v>1</v>
      </c>
      <c r="M15" s="1" t="s">
        <v>11</v>
      </c>
    </row>
    <row r="16" spans="1:13" x14ac:dyDescent="0.35">
      <c r="A16" s="8"/>
      <c r="B16" s="2">
        <v>1</v>
      </c>
      <c r="C16" s="2">
        <v>0.8</v>
      </c>
      <c r="D16" s="2" t="s">
        <v>11</v>
      </c>
      <c r="E16" s="2">
        <v>1900</v>
      </c>
      <c r="F16" s="2">
        <v>100</v>
      </c>
      <c r="G16" s="2">
        <v>100</v>
      </c>
    </row>
    <row r="17" spans="1:13" x14ac:dyDescent="0.35">
      <c r="A17" s="4"/>
      <c r="B17" s="4"/>
      <c r="C17" s="4"/>
      <c r="D17" s="4"/>
      <c r="E17" s="4"/>
      <c r="F17" s="4"/>
      <c r="G17" s="4"/>
    </row>
    <row r="18" spans="1:13" x14ac:dyDescent="0.35">
      <c r="A18" s="8" t="s">
        <v>17</v>
      </c>
      <c r="B18" s="2">
        <v>2</v>
      </c>
      <c r="C18" s="2">
        <v>0.5</v>
      </c>
      <c r="D18" s="2" t="s">
        <v>7</v>
      </c>
      <c r="E18" s="2">
        <v>114</v>
      </c>
      <c r="F18" s="2">
        <v>100</v>
      </c>
      <c r="G18" s="2">
        <v>100</v>
      </c>
      <c r="H18" s="6" t="s">
        <v>3</v>
      </c>
      <c r="I18" s="6"/>
      <c r="J18" s="7" t="s">
        <v>4</v>
      </c>
      <c r="K18" s="7"/>
    </row>
    <row r="19" spans="1:13" x14ac:dyDescent="0.35">
      <c r="A19" s="8"/>
      <c r="B19" s="2">
        <v>2</v>
      </c>
      <c r="C19" s="2">
        <v>0.5</v>
      </c>
      <c r="D19" s="2" t="s">
        <v>8</v>
      </c>
      <c r="E19" s="2">
        <v>266</v>
      </c>
      <c r="F19" s="2">
        <v>100</v>
      </c>
      <c r="G19" s="2">
        <v>100</v>
      </c>
      <c r="H19" t="s">
        <v>21</v>
      </c>
      <c r="I19" t="s">
        <v>22</v>
      </c>
      <c r="J19" t="s">
        <v>21</v>
      </c>
      <c r="K19" t="s">
        <v>22</v>
      </c>
      <c r="L19" s="1" t="s">
        <v>20</v>
      </c>
    </row>
    <row r="20" spans="1:13" x14ac:dyDescent="0.35">
      <c r="A20" s="8"/>
      <c r="B20" s="2">
        <v>2</v>
      </c>
      <c r="C20" s="2">
        <v>0.5</v>
      </c>
      <c r="D20" s="2" t="s">
        <v>9</v>
      </c>
      <c r="E20" s="2">
        <v>570</v>
      </c>
      <c r="F20" s="2">
        <v>100</v>
      </c>
      <c r="G20" s="2">
        <v>100</v>
      </c>
      <c r="H20">
        <f>AVERAGE(F18,F23,F28)</f>
        <v>100</v>
      </c>
      <c r="I20">
        <f>_xlfn.STDEV.S(F18,F23,F28)</f>
        <v>0</v>
      </c>
      <c r="J20">
        <f>AVERAGE(G18,G23,G28)</f>
        <v>100</v>
      </c>
      <c r="K20">
        <f>_xlfn.STDEV.S(G18,G23,G28)</f>
        <v>0</v>
      </c>
      <c r="L20" s="5">
        <v>2</v>
      </c>
      <c r="M20" s="1" t="s">
        <v>7</v>
      </c>
    </row>
    <row r="21" spans="1:13" x14ac:dyDescent="0.35">
      <c r="A21" s="8"/>
      <c r="B21" s="2">
        <v>2</v>
      </c>
      <c r="C21" s="2">
        <v>0.5</v>
      </c>
      <c r="D21" s="2" t="s">
        <v>10</v>
      </c>
      <c r="E21" s="2">
        <v>950</v>
      </c>
      <c r="F21" s="2">
        <v>100</v>
      </c>
      <c r="G21" s="2">
        <v>100</v>
      </c>
      <c r="H21">
        <f>AVERAGE(F19,F24,F29)</f>
        <v>100</v>
      </c>
      <c r="I21">
        <f>_xlfn.STDEV.S(F19,F24,F29)</f>
        <v>0</v>
      </c>
      <c r="J21">
        <f>AVERAGE(G19,G24,G29)</f>
        <v>100</v>
      </c>
      <c r="K21">
        <f>_xlfn.STDEV.S(G19,G24,G29)</f>
        <v>0</v>
      </c>
      <c r="L21" s="5">
        <v>2</v>
      </c>
      <c r="M21" s="1" t="s">
        <v>8</v>
      </c>
    </row>
    <row r="22" spans="1:13" x14ac:dyDescent="0.35">
      <c r="A22" s="8"/>
      <c r="B22" s="2">
        <v>2</v>
      </c>
      <c r="C22" s="2">
        <v>0.5</v>
      </c>
      <c r="D22" s="2" t="s">
        <v>11</v>
      </c>
      <c r="E22" s="2">
        <v>1900</v>
      </c>
      <c r="F22" s="2">
        <v>100</v>
      </c>
      <c r="G22" s="2">
        <v>100</v>
      </c>
      <c r="H22">
        <f>AVERAGE(F20,F25,F30)</f>
        <v>100</v>
      </c>
      <c r="I22">
        <f>_xlfn.STDEV.S(F20,F25,F30)</f>
        <v>0</v>
      </c>
      <c r="J22">
        <f>AVERAGE(G20,G25,G30)</f>
        <v>100</v>
      </c>
      <c r="K22">
        <f>_xlfn.STDEV.S(G20,G25,G30)</f>
        <v>0</v>
      </c>
      <c r="L22" s="5">
        <v>2</v>
      </c>
      <c r="M22" s="1" t="s">
        <v>9</v>
      </c>
    </row>
    <row r="23" spans="1:13" x14ac:dyDescent="0.35">
      <c r="A23" s="9" t="s">
        <v>17</v>
      </c>
      <c r="B23" s="3">
        <v>2</v>
      </c>
      <c r="C23" s="3">
        <v>0.65</v>
      </c>
      <c r="D23" s="3" t="s">
        <v>7</v>
      </c>
      <c r="E23" s="3">
        <v>114</v>
      </c>
      <c r="F23" s="3">
        <v>100</v>
      </c>
      <c r="G23" s="3">
        <v>100</v>
      </c>
      <c r="H23">
        <f>AVERAGE(F21,F26,F31)</f>
        <v>100</v>
      </c>
      <c r="I23">
        <f>_xlfn.STDEV.S(F21,F26,F31)</f>
        <v>0</v>
      </c>
      <c r="J23">
        <f>AVERAGE(G21,G26,G31)</f>
        <v>100</v>
      </c>
      <c r="K23">
        <f>_xlfn.STDEV.S(G21,G26,G31)</f>
        <v>0</v>
      </c>
      <c r="L23" s="5">
        <v>2</v>
      </c>
      <c r="M23" s="1" t="s">
        <v>10</v>
      </c>
    </row>
    <row r="24" spans="1:13" x14ac:dyDescent="0.35">
      <c r="A24" s="9"/>
      <c r="B24" s="3">
        <v>2</v>
      </c>
      <c r="C24" s="3">
        <v>0.65</v>
      </c>
      <c r="D24" s="3" t="s">
        <v>8</v>
      </c>
      <c r="E24" s="3">
        <v>266</v>
      </c>
      <c r="F24" s="3">
        <v>100</v>
      </c>
      <c r="G24" s="3">
        <v>100</v>
      </c>
      <c r="H24">
        <f>AVERAGE(F22,F27,F32)</f>
        <v>100</v>
      </c>
      <c r="I24">
        <f>_xlfn.STDEV.S(F22,F27,F32)</f>
        <v>0</v>
      </c>
      <c r="J24">
        <f>AVERAGE(G22,G27,G32)</f>
        <v>100</v>
      </c>
      <c r="K24">
        <f>_xlfn.STDEV.S(G22,G27,G32)</f>
        <v>0</v>
      </c>
      <c r="L24" s="5">
        <v>2</v>
      </c>
      <c r="M24" s="1" t="s">
        <v>11</v>
      </c>
    </row>
    <row r="25" spans="1:13" x14ac:dyDescent="0.35">
      <c r="A25" s="9"/>
      <c r="B25" s="3">
        <v>2</v>
      </c>
      <c r="C25" s="3">
        <v>0.65</v>
      </c>
      <c r="D25" s="3" t="s">
        <v>9</v>
      </c>
      <c r="E25" s="3">
        <v>570</v>
      </c>
      <c r="F25" s="3">
        <v>100</v>
      </c>
      <c r="G25" s="3">
        <v>100</v>
      </c>
    </row>
    <row r="26" spans="1:13" x14ac:dyDescent="0.35">
      <c r="A26" s="9"/>
      <c r="B26" s="3">
        <v>2</v>
      </c>
      <c r="C26" s="3">
        <v>0.65</v>
      </c>
      <c r="D26" s="3" t="s">
        <v>10</v>
      </c>
      <c r="E26" s="3">
        <v>950</v>
      </c>
      <c r="F26" s="3">
        <v>100</v>
      </c>
      <c r="G26" s="3">
        <v>100</v>
      </c>
    </row>
    <row r="27" spans="1:13" x14ac:dyDescent="0.35">
      <c r="A27" s="9"/>
      <c r="B27" s="3">
        <v>2</v>
      </c>
      <c r="C27" s="3">
        <v>0.65</v>
      </c>
      <c r="D27" s="3" t="s">
        <v>11</v>
      </c>
      <c r="E27" s="3">
        <v>1900</v>
      </c>
      <c r="F27" s="3">
        <v>100</v>
      </c>
      <c r="G27" s="3">
        <v>100</v>
      </c>
    </row>
    <row r="28" spans="1:13" x14ac:dyDescent="0.35">
      <c r="A28" s="8" t="s">
        <v>17</v>
      </c>
      <c r="B28" s="2">
        <v>2</v>
      </c>
      <c r="C28" s="2">
        <v>0.8</v>
      </c>
      <c r="D28" s="2" t="s">
        <v>7</v>
      </c>
      <c r="E28" s="2">
        <v>114</v>
      </c>
      <c r="F28" s="2">
        <v>100</v>
      </c>
      <c r="G28" s="2">
        <v>100</v>
      </c>
    </row>
    <row r="29" spans="1:13" x14ac:dyDescent="0.35">
      <c r="A29" s="8"/>
      <c r="B29" s="2">
        <v>2</v>
      </c>
      <c r="C29" s="2">
        <v>0.8</v>
      </c>
      <c r="D29" s="2" t="s">
        <v>8</v>
      </c>
      <c r="E29" s="2">
        <v>266</v>
      </c>
      <c r="F29" s="2">
        <v>100</v>
      </c>
      <c r="G29" s="2">
        <v>100</v>
      </c>
    </row>
    <row r="30" spans="1:13" x14ac:dyDescent="0.35">
      <c r="A30" s="8"/>
      <c r="B30" s="2">
        <v>2</v>
      </c>
      <c r="C30" s="2">
        <v>0.8</v>
      </c>
      <c r="D30" s="2" t="s">
        <v>9</v>
      </c>
      <c r="E30" s="2">
        <v>570</v>
      </c>
      <c r="F30" s="2">
        <v>100</v>
      </c>
      <c r="G30" s="2">
        <v>100</v>
      </c>
    </row>
    <row r="31" spans="1:13" x14ac:dyDescent="0.35">
      <c r="A31" s="8"/>
      <c r="B31" s="2">
        <v>2</v>
      </c>
      <c r="C31" s="2">
        <v>0.8</v>
      </c>
      <c r="D31" s="2" t="s">
        <v>10</v>
      </c>
      <c r="E31" s="2">
        <v>950</v>
      </c>
      <c r="F31" s="2">
        <v>100</v>
      </c>
      <c r="G31" s="2">
        <v>100</v>
      </c>
    </row>
    <row r="32" spans="1:13" x14ac:dyDescent="0.35">
      <c r="A32" s="8"/>
      <c r="B32" s="2">
        <v>2</v>
      </c>
      <c r="C32" s="2">
        <v>0.8</v>
      </c>
      <c r="D32" s="2" t="s">
        <v>11</v>
      </c>
      <c r="E32" s="2">
        <v>1900</v>
      </c>
      <c r="F32" s="2">
        <v>100</v>
      </c>
      <c r="G32" s="2">
        <v>100</v>
      </c>
    </row>
    <row r="33" spans="1:13" x14ac:dyDescent="0.35">
      <c r="A33" s="4"/>
      <c r="B33" s="4"/>
      <c r="C33" s="4"/>
      <c r="D33" s="4"/>
      <c r="E33" s="4"/>
      <c r="F33" s="4"/>
      <c r="G33" s="4"/>
    </row>
    <row r="34" spans="1:13" x14ac:dyDescent="0.35">
      <c r="A34" s="8" t="s">
        <v>17</v>
      </c>
      <c r="B34" s="2">
        <v>3</v>
      </c>
      <c r="C34" s="2">
        <v>0.5</v>
      </c>
      <c r="D34" s="2" t="s">
        <v>7</v>
      </c>
      <c r="E34" s="2">
        <v>114</v>
      </c>
      <c r="F34" s="2">
        <v>100</v>
      </c>
      <c r="G34" s="2">
        <v>100</v>
      </c>
    </row>
    <row r="35" spans="1:13" x14ac:dyDescent="0.35">
      <c r="A35" s="8"/>
      <c r="B35" s="2">
        <v>3</v>
      </c>
      <c r="C35" s="2">
        <v>0.5</v>
      </c>
      <c r="D35" s="2" t="s">
        <v>8</v>
      </c>
      <c r="E35" s="2">
        <v>266</v>
      </c>
      <c r="F35" s="2">
        <v>100</v>
      </c>
      <c r="G35" s="2">
        <v>100</v>
      </c>
      <c r="H35" s="6" t="s">
        <v>3</v>
      </c>
      <c r="I35" s="6"/>
      <c r="J35" s="7" t="s">
        <v>4</v>
      </c>
      <c r="K35" s="7"/>
    </row>
    <row r="36" spans="1:13" x14ac:dyDescent="0.35">
      <c r="A36" s="8"/>
      <c r="B36" s="2">
        <v>3</v>
      </c>
      <c r="C36" s="2">
        <v>0.5</v>
      </c>
      <c r="D36" s="2" t="s">
        <v>9</v>
      </c>
      <c r="E36" s="2">
        <v>570</v>
      </c>
      <c r="F36" s="2">
        <v>100</v>
      </c>
      <c r="G36" s="2">
        <v>100</v>
      </c>
      <c r="H36" t="s">
        <v>21</v>
      </c>
      <c r="I36" t="s">
        <v>22</v>
      </c>
      <c r="J36" t="s">
        <v>21</v>
      </c>
      <c r="K36" t="s">
        <v>22</v>
      </c>
      <c r="L36" s="1" t="s">
        <v>20</v>
      </c>
    </row>
    <row r="37" spans="1:13" x14ac:dyDescent="0.35">
      <c r="A37" s="8"/>
      <c r="B37" s="2">
        <v>3</v>
      </c>
      <c r="C37" s="2">
        <v>0.5</v>
      </c>
      <c r="D37" s="2" t="s">
        <v>10</v>
      </c>
      <c r="E37" s="2">
        <v>950</v>
      </c>
      <c r="F37" s="2">
        <v>100</v>
      </c>
      <c r="G37" s="2">
        <v>100</v>
      </c>
      <c r="H37">
        <f>AVERAGE(F34,F39,F44)</f>
        <v>100</v>
      </c>
      <c r="I37">
        <f>_xlfn.STDEV.S(F34,F39,F44)</f>
        <v>0</v>
      </c>
      <c r="J37">
        <f>AVERAGE(G34,G39,G44)</f>
        <v>100</v>
      </c>
      <c r="K37">
        <f>_xlfn.STDEV.S(G34,G39,G44)</f>
        <v>0</v>
      </c>
      <c r="L37" s="5">
        <v>3</v>
      </c>
      <c r="M37" s="1" t="s">
        <v>7</v>
      </c>
    </row>
    <row r="38" spans="1:13" x14ac:dyDescent="0.35">
      <c r="A38" s="8"/>
      <c r="B38" s="2">
        <v>3</v>
      </c>
      <c r="C38" s="2">
        <v>0.5</v>
      </c>
      <c r="D38" s="2" t="s">
        <v>11</v>
      </c>
      <c r="E38" s="2">
        <v>1900</v>
      </c>
      <c r="F38" s="2">
        <v>100</v>
      </c>
      <c r="G38" s="2">
        <v>100</v>
      </c>
      <c r="H38">
        <f>AVERAGE(F35,F40,F45)</f>
        <v>100</v>
      </c>
      <c r="I38">
        <f>_xlfn.STDEV.S(F35,F40,F45)</f>
        <v>0</v>
      </c>
      <c r="J38">
        <f>AVERAGE(G35,G40,G45)</f>
        <v>100</v>
      </c>
      <c r="K38">
        <f>_xlfn.STDEV.S(G35,G40,G45)</f>
        <v>0</v>
      </c>
      <c r="L38" s="5">
        <v>3</v>
      </c>
      <c r="M38" s="1" t="s">
        <v>8</v>
      </c>
    </row>
    <row r="39" spans="1:13" x14ac:dyDescent="0.35">
      <c r="A39" s="9" t="s">
        <v>17</v>
      </c>
      <c r="B39" s="3">
        <v>3</v>
      </c>
      <c r="C39" s="3">
        <v>0.65</v>
      </c>
      <c r="D39" s="3" t="s">
        <v>7</v>
      </c>
      <c r="E39" s="3">
        <v>114</v>
      </c>
      <c r="F39" s="3">
        <v>100</v>
      </c>
      <c r="G39" s="3">
        <v>100</v>
      </c>
      <c r="H39">
        <f>AVERAGE(F36,F41,F46)</f>
        <v>100</v>
      </c>
      <c r="I39">
        <f>_xlfn.STDEV.S(F36,F41,F46)</f>
        <v>0</v>
      </c>
      <c r="J39">
        <f>AVERAGE(G36,G41,G46)</f>
        <v>100</v>
      </c>
      <c r="K39">
        <f>_xlfn.STDEV.S(G36,G41,G46)</f>
        <v>0</v>
      </c>
      <c r="L39" s="5">
        <v>3</v>
      </c>
      <c r="M39" s="1" t="s">
        <v>9</v>
      </c>
    </row>
    <row r="40" spans="1:13" x14ac:dyDescent="0.35">
      <c r="A40" s="9"/>
      <c r="B40" s="3">
        <v>3</v>
      </c>
      <c r="C40" s="3">
        <v>0.65</v>
      </c>
      <c r="D40" s="3" t="s">
        <v>8</v>
      </c>
      <c r="E40" s="3">
        <v>266</v>
      </c>
      <c r="F40" s="3">
        <v>100</v>
      </c>
      <c r="G40" s="3">
        <v>100</v>
      </c>
      <c r="H40">
        <f>AVERAGE(F37,F42,F47)</f>
        <v>100</v>
      </c>
      <c r="I40">
        <f>_xlfn.STDEV.S(F37,F42,F47)</f>
        <v>0</v>
      </c>
      <c r="J40">
        <f>AVERAGE(G37,G42,G47)</f>
        <v>100</v>
      </c>
      <c r="K40">
        <f>_xlfn.STDEV.S(G37,G42,G47)</f>
        <v>0</v>
      </c>
      <c r="L40" s="5">
        <v>3</v>
      </c>
      <c r="M40" s="1" t="s">
        <v>10</v>
      </c>
    </row>
    <row r="41" spans="1:13" x14ac:dyDescent="0.35">
      <c r="A41" s="9"/>
      <c r="B41" s="3">
        <v>3</v>
      </c>
      <c r="C41" s="3">
        <v>0.65</v>
      </c>
      <c r="D41" s="3" t="s">
        <v>9</v>
      </c>
      <c r="E41" s="3">
        <v>570</v>
      </c>
      <c r="F41" s="3">
        <v>100</v>
      </c>
      <c r="G41" s="3">
        <v>100</v>
      </c>
      <c r="H41">
        <f>AVERAGE(F38,F43,F48)</f>
        <v>100</v>
      </c>
      <c r="I41">
        <f>_xlfn.STDEV.S(F38,F43,F48)</f>
        <v>0</v>
      </c>
      <c r="J41">
        <f>AVERAGE(G38,G43,G48)</f>
        <v>100</v>
      </c>
      <c r="K41">
        <f>_xlfn.STDEV.S(G38,G43,G48)</f>
        <v>0</v>
      </c>
      <c r="L41" s="5">
        <v>3</v>
      </c>
      <c r="M41" s="1" t="s">
        <v>11</v>
      </c>
    </row>
    <row r="42" spans="1:13" x14ac:dyDescent="0.35">
      <c r="A42" s="9"/>
      <c r="B42" s="3">
        <v>3</v>
      </c>
      <c r="C42" s="3">
        <v>0.65</v>
      </c>
      <c r="D42" s="3" t="s">
        <v>10</v>
      </c>
      <c r="E42" s="3">
        <v>950</v>
      </c>
      <c r="F42" s="3">
        <v>100</v>
      </c>
      <c r="G42" s="3">
        <v>100</v>
      </c>
    </row>
    <row r="43" spans="1:13" x14ac:dyDescent="0.35">
      <c r="A43" s="9"/>
      <c r="B43" s="3">
        <v>3</v>
      </c>
      <c r="C43" s="3">
        <v>0.65</v>
      </c>
      <c r="D43" s="3" t="s">
        <v>11</v>
      </c>
      <c r="E43" s="3">
        <v>1900</v>
      </c>
      <c r="F43" s="3">
        <v>100</v>
      </c>
      <c r="G43" s="3">
        <v>100</v>
      </c>
    </row>
    <row r="44" spans="1:13" x14ac:dyDescent="0.35">
      <c r="A44" s="8" t="s">
        <v>17</v>
      </c>
      <c r="B44" s="2">
        <v>3</v>
      </c>
      <c r="C44" s="2">
        <v>0.8</v>
      </c>
      <c r="D44" s="2" t="s">
        <v>7</v>
      </c>
      <c r="E44" s="2">
        <v>114</v>
      </c>
      <c r="F44" s="2">
        <v>100</v>
      </c>
      <c r="G44" s="2">
        <v>100</v>
      </c>
    </row>
    <row r="45" spans="1:13" x14ac:dyDescent="0.35">
      <c r="A45" s="8"/>
      <c r="B45" s="2">
        <v>3</v>
      </c>
      <c r="C45" s="2">
        <v>0.8</v>
      </c>
      <c r="D45" s="2" t="s">
        <v>8</v>
      </c>
      <c r="E45" s="2">
        <v>266</v>
      </c>
      <c r="F45" s="2">
        <v>100</v>
      </c>
      <c r="G45" s="2">
        <v>100</v>
      </c>
    </row>
    <row r="46" spans="1:13" x14ac:dyDescent="0.35">
      <c r="A46" s="8"/>
      <c r="B46" s="2">
        <v>3</v>
      </c>
      <c r="C46" s="2">
        <v>0.8</v>
      </c>
      <c r="D46" s="2" t="s">
        <v>9</v>
      </c>
      <c r="E46" s="2">
        <v>570</v>
      </c>
      <c r="F46" s="2">
        <v>100</v>
      </c>
      <c r="G46" s="2">
        <v>100</v>
      </c>
    </row>
    <row r="47" spans="1:13" x14ac:dyDescent="0.35">
      <c r="A47" s="8"/>
      <c r="B47" s="2">
        <v>3</v>
      </c>
      <c r="C47" s="2">
        <v>0.8</v>
      </c>
      <c r="D47" s="2" t="s">
        <v>10</v>
      </c>
      <c r="E47" s="2">
        <v>950</v>
      </c>
      <c r="F47" s="2">
        <v>100</v>
      </c>
      <c r="G47" s="2">
        <v>100</v>
      </c>
    </row>
    <row r="48" spans="1:13" x14ac:dyDescent="0.35">
      <c r="A48" s="8"/>
      <c r="B48" s="2">
        <v>3</v>
      </c>
      <c r="C48" s="2">
        <v>0.8</v>
      </c>
      <c r="D48" s="2" t="s">
        <v>11</v>
      </c>
      <c r="E48" s="2">
        <v>1900</v>
      </c>
      <c r="F48" s="2">
        <v>100</v>
      </c>
      <c r="G48" s="2">
        <v>100</v>
      </c>
    </row>
    <row r="49" spans="1:13" x14ac:dyDescent="0.35">
      <c r="A49" s="4"/>
      <c r="B49" s="4"/>
      <c r="C49" s="4"/>
      <c r="D49" s="4"/>
      <c r="E49" s="4"/>
      <c r="F49" s="4"/>
      <c r="G49" s="4"/>
    </row>
    <row r="50" spans="1:13" x14ac:dyDescent="0.35">
      <c r="A50" s="8" t="s">
        <v>17</v>
      </c>
      <c r="B50" s="2">
        <v>4</v>
      </c>
      <c r="C50" s="2">
        <v>0.5</v>
      </c>
      <c r="D50" s="2" t="s">
        <v>7</v>
      </c>
      <c r="E50" s="2">
        <v>114</v>
      </c>
      <c r="F50" s="2">
        <v>100</v>
      </c>
      <c r="G50" s="2">
        <v>100</v>
      </c>
      <c r="H50" s="6" t="s">
        <v>3</v>
      </c>
      <c r="I50" s="6"/>
      <c r="J50" s="7" t="s">
        <v>4</v>
      </c>
      <c r="K50" s="7"/>
    </row>
    <row r="51" spans="1:13" x14ac:dyDescent="0.35">
      <c r="A51" s="8"/>
      <c r="B51" s="2">
        <v>4</v>
      </c>
      <c r="C51" s="2">
        <v>0.5</v>
      </c>
      <c r="D51" s="2" t="s">
        <v>8</v>
      </c>
      <c r="E51" s="2">
        <v>266</v>
      </c>
      <c r="F51" s="2">
        <v>100</v>
      </c>
      <c r="G51" s="2">
        <v>100</v>
      </c>
      <c r="H51" t="s">
        <v>21</v>
      </c>
      <c r="I51" t="s">
        <v>22</v>
      </c>
      <c r="J51" t="s">
        <v>21</v>
      </c>
      <c r="K51" t="s">
        <v>22</v>
      </c>
      <c r="L51" s="1" t="s">
        <v>20</v>
      </c>
    </row>
    <row r="52" spans="1:13" x14ac:dyDescent="0.35">
      <c r="A52" s="8"/>
      <c r="B52" s="2">
        <v>4</v>
      </c>
      <c r="C52" s="2">
        <v>0.5</v>
      </c>
      <c r="D52" s="2" t="s">
        <v>9</v>
      </c>
      <c r="E52" s="2">
        <v>570</v>
      </c>
      <c r="F52" s="2">
        <v>100</v>
      </c>
      <c r="G52" s="2">
        <v>100</v>
      </c>
      <c r="H52">
        <f>AVERAGE(F50,F55,F60)</f>
        <v>100</v>
      </c>
      <c r="I52">
        <f>_xlfn.STDEV.S(F50,F55,F60)</f>
        <v>0</v>
      </c>
      <c r="J52">
        <f>AVERAGE(G50,G55,G60)</f>
        <v>100</v>
      </c>
      <c r="K52">
        <f>_xlfn.STDEV.S(G50,G55,G60)</f>
        <v>0</v>
      </c>
      <c r="L52" s="5">
        <v>4</v>
      </c>
      <c r="M52" s="1" t="s">
        <v>7</v>
      </c>
    </row>
    <row r="53" spans="1:13" x14ac:dyDescent="0.35">
      <c r="A53" s="8"/>
      <c r="B53" s="2">
        <v>4</v>
      </c>
      <c r="C53" s="2">
        <v>0.5</v>
      </c>
      <c r="D53" s="2" t="s">
        <v>10</v>
      </c>
      <c r="E53" s="2">
        <v>950</v>
      </c>
      <c r="F53" s="2">
        <v>100</v>
      </c>
      <c r="G53" s="2">
        <v>100</v>
      </c>
      <c r="H53">
        <f>AVERAGE(F51,F56,F61)</f>
        <v>100</v>
      </c>
      <c r="I53">
        <f>_xlfn.STDEV.S(F51,F56,F61)</f>
        <v>0</v>
      </c>
      <c r="J53">
        <f>AVERAGE(G51,G56,G61)</f>
        <v>100</v>
      </c>
      <c r="K53">
        <f>_xlfn.STDEV.S(G51,G56,G61)</f>
        <v>0</v>
      </c>
      <c r="L53" s="5">
        <v>4</v>
      </c>
      <c r="M53" s="1" t="s">
        <v>8</v>
      </c>
    </row>
    <row r="54" spans="1:13" x14ac:dyDescent="0.35">
      <c r="A54" s="8"/>
      <c r="B54" s="2">
        <v>4</v>
      </c>
      <c r="C54" s="2">
        <v>0.5</v>
      </c>
      <c r="D54" s="2" t="s">
        <v>11</v>
      </c>
      <c r="E54" s="2">
        <v>1900</v>
      </c>
      <c r="F54" s="2">
        <v>100</v>
      </c>
      <c r="G54" s="2">
        <v>100</v>
      </c>
      <c r="H54">
        <f>AVERAGE(F52,F57,F62)</f>
        <v>100</v>
      </c>
      <c r="I54">
        <f>_xlfn.STDEV.S(F52,F57,F62)</f>
        <v>0</v>
      </c>
      <c r="J54">
        <f>AVERAGE(G52,G57,G62)</f>
        <v>100</v>
      </c>
      <c r="K54">
        <f>_xlfn.STDEV.S(G52,G57,G62)</f>
        <v>0</v>
      </c>
      <c r="L54" s="5">
        <v>4</v>
      </c>
      <c r="M54" s="1" t="s">
        <v>9</v>
      </c>
    </row>
    <row r="55" spans="1:13" x14ac:dyDescent="0.35">
      <c r="A55" s="9" t="s">
        <v>17</v>
      </c>
      <c r="B55" s="3">
        <v>4</v>
      </c>
      <c r="C55" s="3">
        <v>0.65</v>
      </c>
      <c r="D55" s="3" t="s">
        <v>7</v>
      </c>
      <c r="E55" s="3">
        <v>114</v>
      </c>
      <c r="F55" s="3">
        <v>100</v>
      </c>
      <c r="G55" s="3">
        <v>100</v>
      </c>
      <c r="H55">
        <f>AVERAGE(F53,F58,F63)</f>
        <v>100</v>
      </c>
      <c r="I55">
        <f>_xlfn.STDEV.S(F53,F58,F63)</f>
        <v>0</v>
      </c>
      <c r="J55">
        <f>AVERAGE(G53,G58,G63)</f>
        <v>100</v>
      </c>
      <c r="K55">
        <f>_xlfn.STDEV.S(G53,G58,G63)</f>
        <v>0</v>
      </c>
      <c r="L55" s="5">
        <v>4</v>
      </c>
      <c r="M55" s="1" t="s">
        <v>10</v>
      </c>
    </row>
    <row r="56" spans="1:13" x14ac:dyDescent="0.35">
      <c r="A56" s="9"/>
      <c r="B56" s="3">
        <v>4</v>
      </c>
      <c r="C56" s="3">
        <v>0.65</v>
      </c>
      <c r="D56" s="3" t="s">
        <v>8</v>
      </c>
      <c r="E56" s="3">
        <v>266</v>
      </c>
      <c r="F56" s="3">
        <v>100</v>
      </c>
      <c r="G56" s="3">
        <v>100</v>
      </c>
      <c r="H56">
        <f>AVERAGE(F54,F59,F64)</f>
        <v>100</v>
      </c>
      <c r="I56">
        <f>_xlfn.STDEV.S(F54,F59,F64)</f>
        <v>0</v>
      </c>
      <c r="J56">
        <f>AVERAGE(G54,G59,G64)</f>
        <v>100</v>
      </c>
      <c r="K56">
        <f>_xlfn.STDEV.S(G54,G59,G64)</f>
        <v>0</v>
      </c>
      <c r="L56" s="5">
        <v>4</v>
      </c>
      <c r="M56" s="1" t="s">
        <v>11</v>
      </c>
    </row>
    <row r="57" spans="1:13" x14ac:dyDescent="0.35">
      <c r="A57" s="9"/>
      <c r="B57" s="3">
        <v>4</v>
      </c>
      <c r="C57" s="3">
        <v>0.65</v>
      </c>
      <c r="D57" s="3" t="s">
        <v>9</v>
      </c>
      <c r="E57" s="3">
        <v>570</v>
      </c>
      <c r="F57" s="3">
        <v>100</v>
      </c>
      <c r="G57" s="3">
        <v>100</v>
      </c>
    </row>
    <row r="58" spans="1:13" x14ac:dyDescent="0.35">
      <c r="A58" s="9"/>
      <c r="B58" s="3">
        <v>4</v>
      </c>
      <c r="C58" s="3">
        <v>0.65</v>
      </c>
      <c r="D58" s="3" t="s">
        <v>10</v>
      </c>
      <c r="E58" s="3">
        <v>950</v>
      </c>
      <c r="F58" s="3">
        <v>100</v>
      </c>
      <c r="G58" s="3">
        <v>100</v>
      </c>
    </row>
    <row r="59" spans="1:13" x14ac:dyDescent="0.35">
      <c r="A59" s="9"/>
      <c r="B59" s="3">
        <v>4</v>
      </c>
      <c r="C59" s="3">
        <v>0.65</v>
      </c>
      <c r="D59" s="3" t="s">
        <v>11</v>
      </c>
      <c r="E59" s="3">
        <v>1900</v>
      </c>
      <c r="F59" s="3">
        <v>100</v>
      </c>
      <c r="G59" s="3">
        <v>100</v>
      </c>
    </row>
    <row r="60" spans="1:13" x14ac:dyDescent="0.35">
      <c r="A60" s="8" t="s">
        <v>17</v>
      </c>
      <c r="B60" s="2">
        <v>4</v>
      </c>
      <c r="C60" s="2">
        <v>0.8</v>
      </c>
      <c r="D60" s="2" t="s">
        <v>7</v>
      </c>
      <c r="E60" s="2">
        <v>114</v>
      </c>
      <c r="F60" s="2">
        <v>100</v>
      </c>
      <c r="G60" s="2">
        <v>100</v>
      </c>
    </row>
    <row r="61" spans="1:13" x14ac:dyDescent="0.35">
      <c r="A61" s="8"/>
      <c r="B61" s="2">
        <v>4</v>
      </c>
      <c r="C61" s="2">
        <v>0.8</v>
      </c>
      <c r="D61" s="2" t="s">
        <v>8</v>
      </c>
      <c r="E61" s="2">
        <v>266</v>
      </c>
      <c r="F61" s="2">
        <v>100</v>
      </c>
      <c r="G61" s="2">
        <v>100</v>
      </c>
    </row>
    <row r="62" spans="1:13" x14ac:dyDescent="0.35">
      <c r="A62" s="8"/>
      <c r="B62" s="2">
        <v>4</v>
      </c>
      <c r="C62" s="2">
        <v>0.8</v>
      </c>
      <c r="D62" s="2" t="s">
        <v>9</v>
      </c>
      <c r="E62" s="2">
        <v>570</v>
      </c>
      <c r="F62" s="2">
        <v>100</v>
      </c>
      <c r="G62" s="2">
        <v>100</v>
      </c>
    </row>
    <row r="63" spans="1:13" x14ac:dyDescent="0.35">
      <c r="A63" s="8"/>
      <c r="B63" s="2">
        <v>4</v>
      </c>
      <c r="C63" s="2">
        <v>0.8</v>
      </c>
      <c r="D63" s="2" t="s">
        <v>10</v>
      </c>
      <c r="E63" s="2">
        <v>950</v>
      </c>
      <c r="F63" s="2">
        <v>100</v>
      </c>
      <c r="G63" s="2">
        <v>100</v>
      </c>
    </row>
    <row r="64" spans="1:13" x14ac:dyDescent="0.35">
      <c r="A64" s="8"/>
      <c r="B64" s="2">
        <v>4</v>
      </c>
      <c r="C64" s="2">
        <v>0.8</v>
      </c>
      <c r="D64" s="2" t="s">
        <v>11</v>
      </c>
      <c r="E64" s="2">
        <v>1900</v>
      </c>
      <c r="F64" s="2">
        <v>100</v>
      </c>
      <c r="G64" s="2">
        <v>100</v>
      </c>
    </row>
    <row r="65" spans="1:13" x14ac:dyDescent="0.35">
      <c r="A65" s="4"/>
      <c r="B65" s="4"/>
      <c r="C65" s="4"/>
      <c r="D65" s="4"/>
      <c r="E65" s="4"/>
      <c r="F65" s="4"/>
      <c r="G65" s="4"/>
    </row>
    <row r="66" spans="1:13" x14ac:dyDescent="0.35">
      <c r="A66" s="8" t="s">
        <v>17</v>
      </c>
      <c r="B66" s="2">
        <v>5</v>
      </c>
      <c r="C66" s="2">
        <v>0.5</v>
      </c>
      <c r="D66" s="2" t="s">
        <v>7</v>
      </c>
      <c r="E66" s="2">
        <v>114</v>
      </c>
      <c r="F66" s="2">
        <v>100</v>
      </c>
      <c r="G66" s="2">
        <v>100</v>
      </c>
    </row>
    <row r="67" spans="1:13" x14ac:dyDescent="0.35">
      <c r="A67" s="8"/>
      <c r="B67" s="2">
        <v>5</v>
      </c>
      <c r="C67" s="2">
        <v>0.5</v>
      </c>
      <c r="D67" s="2" t="s">
        <v>8</v>
      </c>
      <c r="E67" s="2">
        <v>266</v>
      </c>
      <c r="F67" s="2">
        <v>100</v>
      </c>
      <c r="G67" s="2">
        <v>100</v>
      </c>
      <c r="H67" s="6" t="s">
        <v>3</v>
      </c>
      <c r="I67" s="6"/>
      <c r="J67" s="7" t="s">
        <v>4</v>
      </c>
      <c r="K67" s="7"/>
    </row>
    <row r="68" spans="1:13" x14ac:dyDescent="0.35">
      <c r="A68" s="8"/>
      <c r="B68" s="2">
        <v>5</v>
      </c>
      <c r="C68" s="2">
        <v>0.5</v>
      </c>
      <c r="D68" s="2" t="s">
        <v>9</v>
      </c>
      <c r="E68" s="2">
        <v>570</v>
      </c>
      <c r="F68" s="2">
        <v>100</v>
      </c>
      <c r="G68" s="2">
        <v>100</v>
      </c>
      <c r="H68" t="s">
        <v>21</v>
      </c>
      <c r="I68" t="s">
        <v>22</v>
      </c>
      <c r="J68" t="s">
        <v>21</v>
      </c>
      <c r="K68" t="s">
        <v>22</v>
      </c>
      <c r="L68" s="1" t="s">
        <v>20</v>
      </c>
    </row>
    <row r="69" spans="1:13" x14ac:dyDescent="0.35">
      <c r="A69" s="8"/>
      <c r="B69" s="2">
        <v>5</v>
      </c>
      <c r="C69" s="2">
        <v>0.5</v>
      </c>
      <c r="D69" s="2" t="s">
        <v>10</v>
      </c>
      <c r="E69" s="2">
        <v>950</v>
      </c>
      <c r="F69" s="2">
        <v>100</v>
      </c>
      <c r="G69" s="2">
        <v>100</v>
      </c>
      <c r="H69">
        <f>AVERAGE(F66,F71,F76)</f>
        <v>100</v>
      </c>
      <c r="I69">
        <f>_xlfn.STDEV.S(F66,F71,F76)</f>
        <v>0</v>
      </c>
      <c r="J69">
        <f>AVERAGE(G66,G71,G76)</f>
        <v>66.666666666666671</v>
      </c>
      <c r="K69">
        <f>_xlfn.STDEV.S(G66,G71,G76)</f>
        <v>57.735026918962575</v>
      </c>
      <c r="L69" s="5">
        <v>5</v>
      </c>
      <c r="M69" s="1" t="s">
        <v>7</v>
      </c>
    </row>
    <row r="70" spans="1:13" x14ac:dyDescent="0.35">
      <c r="A70" s="8"/>
      <c r="B70" s="2">
        <v>5</v>
      </c>
      <c r="C70" s="2">
        <v>0.5</v>
      </c>
      <c r="D70" s="2" t="s">
        <v>11</v>
      </c>
      <c r="E70" s="2">
        <v>1900</v>
      </c>
      <c r="F70" s="2">
        <v>100</v>
      </c>
      <c r="G70" s="2">
        <v>100</v>
      </c>
      <c r="H70">
        <f>AVERAGE(F67,F72,F77)</f>
        <v>100</v>
      </c>
      <c r="I70">
        <f>_xlfn.STDEV.S(F67,F72,F77)</f>
        <v>0</v>
      </c>
      <c r="J70">
        <f>AVERAGE(G67,G72,G77)</f>
        <v>100</v>
      </c>
      <c r="K70">
        <f>_xlfn.STDEV.S(G67,G72,G77)</f>
        <v>0</v>
      </c>
      <c r="L70" s="5">
        <v>5</v>
      </c>
      <c r="M70" s="1" t="s">
        <v>8</v>
      </c>
    </row>
    <row r="71" spans="1:13" x14ac:dyDescent="0.35">
      <c r="A71" s="9" t="s">
        <v>17</v>
      </c>
      <c r="B71" s="3">
        <v>5</v>
      </c>
      <c r="C71" s="3">
        <v>0.65</v>
      </c>
      <c r="D71" s="3" t="s">
        <v>7</v>
      </c>
      <c r="E71" s="3">
        <v>114</v>
      </c>
      <c r="F71" s="3"/>
      <c r="G71" s="3">
        <v>0</v>
      </c>
      <c r="H71">
        <f>AVERAGE(F68,F73,F78)</f>
        <v>100</v>
      </c>
      <c r="I71">
        <f>_xlfn.STDEV.S(F68,F73,F78)</f>
        <v>0</v>
      </c>
      <c r="J71">
        <f>AVERAGE(G68,G73,G78)</f>
        <v>100</v>
      </c>
      <c r="K71">
        <f>_xlfn.STDEV.S(G68,G73,G78)</f>
        <v>0</v>
      </c>
      <c r="L71" s="5">
        <v>5</v>
      </c>
      <c r="M71" s="1" t="s">
        <v>9</v>
      </c>
    </row>
    <row r="72" spans="1:13" x14ac:dyDescent="0.35">
      <c r="A72" s="9"/>
      <c r="B72" s="3">
        <v>5</v>
      </c>
      <c r="C72" s="3">
        <v>0.65</v>
      </c>
      <c r="D72" s="3" t="s">
        <v>8</v>
      </c>
      <c r="E72" s="3">
        <v>266</v>
      </c>
      <c r="F72" s="3">
        <v>100</v>
      </c>
      <c r="G72" s="3">
        <v>100</v>
      </c>
      <c r="H72">
        <f>AVERAGE(F69,F74,F79)</f>
        <v>100</v>
      </c>
      <c r="I72">
        <f>_xlfn.STDEV.S(F69,F74,F79)</f>
        <v>0</v>
      </c>
      <c r="J72">
        <f>AVERAGE(G69,G74,G79)</f>
        <v>100</v>
      </c>
      <c r="K72">
        <f>_xlfn.STDEV.S(G69,G74,G79)</f>
        <v>0</v>
      </c>
      <c r="L72" s="5">
        <v>5</v>
      </c>
      <c r="M72" s="1" t="s">
        <v>10</v>
      </c>
    </row>
    <row r="73" spans="1:13" x14ac:dyDescent="0.35">
      <c r="A73" s="9"/>
      <c r="B73" s="3">
        <v>5</v>
      </c>
      <c r="C73" s="3">
        <v>0.65</v>
      </c>
      <c r="D73" s="3" t="s">
        <v>9</v>
      </c>
      <c r="E73" s="3">
        <v>570</v>
      </c>
      <c r="F73" s="3">
        <v>100</v>
      </c>
      <c r="G73" s="3">
        <v>100</v>
      </c>
      <c r="H73">
        <f>AVERAGE(F70,F75,F80)</f>
        <v>100</v>
      </c>
      <c r="I73">
        <f>_xlfn.STDEV.S(F70,F75,F80)</f>
        <v>0</v>
      </c>
      <c r="J73">
        <f>AVERAGE(G70,G75,G80)</f>
        <v>100</v>
      </c>
      <c r="K73">
        <f>_xlfn.STDEV.S(G70,G75,G80)</f>
        <v>0</v>
      </c>
      <c r="L73" s="5">
        <v>5</v>
      </c>
      <c r="M73" s="1" t="s">
        <v>11</v>
      </c>
    </row>
    <row r="74" spans="1:13" x14ac:dyDescent="0.35">
      <c r="A74" s="9"/>
      <c r="B74" s="3">
        <v>5</v>
      </c>
      <c r="C74" s="3">
        <v>0.65</v>
      </c>
      <c r="D74" s="3" t="s">
        <v>10</v>
      </c>
      <c r="E74" s="3">
        <v>950</v>
      </c>
      <c r="F74" s="3">
        <v>100</v>
      </c>
      <c r="G74" s="3">
        <v>100</v>
      </c>
    </row>
    <row r="75" spans="1:13" x14ac:dyDescent="0.35">
      <c r="A75" s="9"/>
      <c r="B75" s="3">
        <v>5</v>
      </c>
      <c r="C75" s="3">
        <v>0.65</v>
      </c>
      <c r="D75" s="3" t="s">
        <v>11</v>
      </c>
      <c r="E75" s="3">
        <v>1900</v>
      </c>
      <c r="F75" s="3">
        <v>100</v>
      </c>
      <c r="G75" s="3">
        <v>100</v>
      </c>
    </row>
    <row r="76" spans="1:13" x14ac:dyDescent="0.35">
      <c r="A76" s="8" t="s">
        <v>17</v>
      </c>
      <c r="B76" s="2">
        <v>5</v>
      </c>
      <c r="C76" s="2">
        <v>0.8</v>
      </c>
      <c r="D76" s="2" t="s">
        <v>7</v>
      </c>
      <c r="E76" s="2">
        <v>114</v>
      </c>
      <c r="F76" s="2">
        <v>100</v>
      </c>
      <c r="G76" s="2">
        <v>100</v>
      </c>
    </row>
    <row r="77" spans="1:13" x14ac:dyDescent="0.35">
      <c r="A77" s="8"/>
      <c r="B77" s="2">
        <v>5</v>
      </c>
      <c r="C77" s="2">
        <v>0.8</v>
      </c>
      <c r="D77" s="2" t="s">
        <v>8</v>
      </c>
      <c r="E77" s="2">
        <v>266</v>
      </c>
      <c r="F77" s="2">
        <v>100</v>
      </c>
      <c r="G77" s="2">
        <v>100</v>
      </c>
    </row>
    <row r="78" spans="1:13" x14ac:dyDescent="0.35">
      <c r="A78" s="8"/>
      <c r="B78" s="2">
        <v>5</v>
      </c>
      <c r="C78" s="2">
        <v>0.8</v>
      </c>
      <c r="D78" s="2" t="s">
        <v>9</v>
      </c>
      <c r="E78" s="2">
        <v>570</v>
      </c>
      <c r="F78" s="2">
        <v>100</v>
      </c>
      <c r="G78" s="2">
        <v>100</v>
      </c>
    </row>
    <row r="79" spans="1:13" x14ac:dyDescent="0.35">
      <c r="A79" s="8"/>
      <c r="B79" s="2">
        <v>5</v>
      </c>
      <c r="C79" s="2">
        <v>0.8</v>
      </c>
      <c r="D79" s="2" t="s">
        <v>10</v>
      </c>
      <c r="E79" s="2">
        <v>950</v>
      </c>
      <c r="F79" s="2">
        <v>100</v>
      </c>
      <c r="G79" s="2">
        <v>100</v>
      </c>
    </row>
    <row r="80" spans="1:13" x14ac:dyDescent="0.35">
      <c r="A80" s="8"/>
      <c r="B80" s="2">
        <v>5</v>
      </c>
      <c r="C80" s="2">
        <v>0.8</v>
      </c>
      <c r="D80" s="2" t="s">
        <v>11</v>
      </c>
      <c r="E80" s="2">
        <v>1900</v>
      </c>
      <c r="F80" s="2">
        <v>100</v>
      </c>
      <c r="G80" s="2">
        <v>100</v>
      </c>
    </row>
  </sheetData>
  <mergeCells count="27">
    <mergeCell ref="A66:A70"/>
    <mergeCell ref="A71:A75"/>
    <mergeCell ref="A76:A80"/>
    <mergeCell ref="A34:A38"/>
    <mergeCell ref="A39:A43"/>
    <mergeCell ref="A44:A48"/>
    <mergeCell ref="A50:A54"/>
    <mergeCell ref="A55:A59"/>
    <mergeCell ref="A60:A64"/>
    <mergeCell ref="A28:A32"/>
    <mergeCell ref="H1:I1"/>
    <mergeCell ref="J1:K1"/>
    <mergeCell ref="H9:I9"/>
    <mergeCell ref="J9:K9"/>
    <mergeCell ref="H18:I18"/>
    <mergeCell ref="J18:K18"/>
    <mergeCell ref="A2:A6"/>
    <mergeCell ref="A7:A11"/>
    <mergeCell ref="A12:A16"/>
    <mergeCell ref="A18:A22"/>
    <mergeCell ref="A23:A27"/>
    <mergeCell ref="H35:I35"/>
    <mergeCell ref="J35:K35"/>
    <mergeCell ref="H50:I50"/>
    <mergeCell ref="J50:K50"/>
    <mergeCell ref="H67:I67"/>
    <mergeCell ref="J67:K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17FC-1001-451D-A747-31B126E0D270}">
  <dimension ref="A1:M80"/>
  <sheetViews>
    <sheetView workbookViewId="0">
      <selection activeCell="H2" sqref="H2:K2"/>
    </sheetView>
  </sheetViews>
  <sheetFormatPr defaultRowHeight="14.5" x14ac:dyDescent="0.35"/>
  <cols>
    <col min="1" max="1" width="18.54296875" customWidth="1"/>
    <col min="2" max="2" width="16.26953125" style="1" customWidth="1"/>
    <col min="3" max="3" width="21.54296875" style="1" customWidth="1"/>
    <col min="4" max="5" width="18.54296875" style="1" customWidth="1"/>
    <col min="6" max="6" width="15.26953125" style="1" customWidth="1"/>
    <col min="7" max="7" width="13.08984375" style="1" customWidth="1"/>
  </cols>
  <sheetData>
    <row r="1" spans="1:13" x14ac:dyDescent="0.35">
      <c r="A1" t="s">
        <v>0</v>
      </c>
      <c r="B1" s="1" t="s">
        <v>2</v>
      </c>
      <c r="C1" s="1" t="s">
        <v>1</v>
      </c>
      <c r="D1" s="1" t="s">
        <v>5</v>
      </c>
      <c r="E1" s="1" t="s">
        <v>12</v>
      </c>
      <c r="F1" s="1" t="s">
        <v>3</v>
      </c>
      <c r="G1" s="1" t="s">
        <v>4</v>
      </c>
      <c r="H1" s="6" t="s">
        <v>3</v>
      </c>
      <c r="I1" s="6"/>
      <c r="J1" s="7" t="s">
        <v>4</v>
      </c>
      <c r="K1" s="7"/>
    </row>
    <row r="2" spans="1:13" x14ac:dyDescent="0.35">
      <c r="A2" s="8" t="s">
        <v>16</v>
      </c>
      <c r="B2" s="2">
        <v>1</v>
      </c>
      <c r="C2" s="2">
        <v>0.5</v>
      </c>
      <c r="D2" s="2" t="s">
        <v>7</v>
      </c>
      <c r="E2" s="2">
        <v>114</v>
      </c>
      <c r="F2" s="2">
        <v>100</v>
      </c>
      <c r="G2" s="2">
        <v>100</v>
      </c>
      <c r="H2" t="s">
        <v>21</v>
      </c>
      <c r="I2" t="s">
        <v>22</v>
      </c>
      <c r="J2" t="s">
        <v>21</v>
      </c>
      <c r="K2" t="s">
        <v>22</v>
      </c>
    </row>
    <row r="3" spans="1:13" x14ac:dyDescent="0.35">
      <c r="A3" s="8"/>
      <c r="B3" s="2">
        <v>1</v>
      </c>
      <c r="C3" s="2">
        <v>0.5</v>
      </c>
      <c r="D3" s="2" t="s">
        <v>8</v>
      </c>
      <c r="E3" s="2">
        <v>266</v>
      </c>
      <c r="F3" s="2">
        <v>100</v>
      </c>
      <c r="G3" s="2">
        <v>100</v>
      </c>
      <c r="H3" s="1">
        <f>AVERAGE(F2,F7,F12,F18,F23,F28,F34,F39,F44,F50,F55,F60,F66,F71,F76)</f>
        <v>100</v>
      </c>
      <c r="I3" s="1">
        <f>_xlfn.STDEV.S(F2,F7,F12,F18,F23,F28,F34,F39,F44,F50,F55,F60,F66,F71,F76)</f>
        <v>0</v>
      </c>
      <c r="J3" s="1">
        <f>AVERAGE(G2,G7,G12,G18,G23,G28,G34,G39,G44,G50,G55,G60,G66,G71,G76)</f>
        <v>87.142666666666656</v>
      </c>
      <c r="K3" s="1">
        <f>_xlfn.STDEV.S(G2,G7,G12,G18,G23,G28,G34,G39,G44,G50,G55,G60,G66,G71,G76)</f>
        <v>29.102422939548894</v>
      </c>
      <c r="L3" s="1" t="s">
        <v>7</v>
      </c>
    </row>
    <row r="4" spans="1:13" x14ac:dyDescent="0.35">
      <c r="A4" s="8"/>
      <c r="B4" s="2">
        <v>1</v>
      </c>
      <c r="C4" s="2">
        <v>0.5</v>
      </c>
      <c r="D4" s="2" t="s">
        <v>9</v>
      </c>
      <c r="E4" s="2">
        <v>570</v>
      </c>
      <c r="F4" s="2">
        <v>100</v>
      </c>
      <c r="G4" s="2">
        <v>100</v>
      </c>
      <c r="H4" s="1">
        <f>AVERAGE(F3,F8,F13,F19,F24,F29,F35,F40,F45,F51,F56,F61,F67,F72,F77)</f>
        <v>100</v>
      </c>
      <c r="I4" s="1">
        <f>_xlfn.STDEV.S(F3,F8,F13,F19,F24,F29,F35,F40,F45,F51,F56,F61,F67,F72,F77)</f>
        <v>0</v>
      </c>
      <c r="J4" s="1">
        <f>AVERAGE(G3,G8,G13,G19,G24,G29,G35,G40,G45,G51,G56,G61,G67,G72,G77)</f>
        <v>100</v>
      </c>
      <c r="K4" s="1">
        <f>_xlfn.STDEV.S(G3,G8,G13,G19,G24,G29,G35,G40,G45,G51,G56,G61,G67,G72,G77)</f>
        <v>0</v>
      </c>
      <c r="L4" s="1" t="s">
        <v>8</v>
      </c>
    </row>
    <row r="5" spans="1:13" x14ac:dyDescent="0.35">
      <c r="A5" s="8"/>
      <c r="B5" s="2">
        <v>1</v>
      </c>
      <c r="C5" s="2">
        <v>0.5</v>
      </c>
      <c r="D5" s="2" t="s">
        <v>10</v>
      </c>
      <c r="E5" s="2">
        <v>950</v>
      </c>
      <c r="F5" s="2">
        <v>100</v>
      </c>
      <c r="G5" s="2">
        <v>100</v>
      </c>
      <c r="H5" s="1">
        <f>AVERAGE(F4,F9,F14,F20,F25,F30,F36,F41,F46,F52,F57,F62,F68,F73,F78)</f>
        <v>100</v>
      </c>
      <c r="I5" s="1">
        <f>_xlfn.STDEV.S(F4,F9,F14,F20,F25,F30,F36,F41,F46,F52,F57,F62,F68,F73,F78)</f>
        <v>0</v>
      </c>
      <c r="J5" s="1">
        <f>AVERAGE(G4,G9,G14,G20,G25,G30,G36,G41,G46,G52,G57,G62,G68,G73,G78)</f>
        <v>100</v>
      </c>
      <c r="K5" s="1">
        <f>_xlfn.STDEV.S(G4,G9,G14,G20,G25,G30,G36,G41,G46,G52,G57,G62,G68,G73,G78)</f>
        <v>0</v>
      </c>
      <c r="L5" s="1" t="s">
        <v>9</v>
      </c>
    </row>
    <row r="6" spans="1:13" x14ac:dyDescent="0.35">
      <c r="A6" s="8"/>
      <c r="B6" s="2">
        <v>1</v>
      </c>
      <c r="C6" s="2">
        <v>0.5</v>
      </c>
      <c r="D6" s="2" t="s">
        <v>11</v>
      </c>
      <c r="E6" s="2">
        <v>1900</v>
      </c>
      <c r="F6" s="2">
        <v>100</v>
      </c>
      <c r="G6" s="2">
        <v>100</v>
      </c>
      <c r="H6" s="1">
        <f>AVERAGE(F5,F10,F15,F21,F26,F31,F37,F42,F47,F53,F58,F63,F69,F74,F79)</f>
        <v>99.733333333333334</v>
      </c>
      <c r="I6" s="1">
        <f>_xlfn.STDEV.S(F5,F10,F15,F21,F26,F31,F37,F42,F47,F53,F58,F63,F69,F74,F79)</f>
        <v>1.0327955589886442</v>
      </c>
      <c r="J6" s="1">
        <f>AVERAGE(G5,G10,G15,G21,G26,G31,G37,G42,G47,G53,G58,G63,G69,G74,G79)</f>
        <v>100</v>
      </c>
      <c r="K6" s="1">
        <f>_xlfn.STDEV.S(G5,G10,G15,G21,G26,G31,G37,G42,G47,G53,G58,G63,G69,G74,G79)</f>
        <v>0</v>
      </c>
      <c r="L6" s="1" t="s">
        <v>10</v>
      </c>
    </row>
    <row r="7" spans="1:13" x14ac:dyDescent="0.35">
      <c r="A7" s="9" t="s">
        <v>16</v>
      </c>
      <c r="B7" s="3">
        <v>1</v>
      </c>
      <c r="C7" s="3">
        <v>0.65</v>
      </c>
      <c r="D7" s="3" t="s">
        <v>7</v>
      </c>
      <c r="E7" s="3">
        <v>114</v>
      </c>
      <c r="F7" s="3">
        <v>100</v>
      </c>
      <c r="G7" s="3">
        <v>100</v>
      </c>
      <c r="H7" s="1">
        <f>AVERAGE(F6,F11,F16,F22,F27,F32,F38,F43,F48,F54,F59,F64,F70,F75,F80)</f>
        <v>100</v>
      </c>
      <c r="I7" s="1">
        <f>_xlfn.STDEV.S(F6,F11,F16,F22,F27,F32,F38,F43,F48,F54,F59,F64,F70,F75,F80)</f>
        <v>0</v>
      </c>
      <c r="J7" s="1">
        <f>AVERAGE(G6,G11,G16,G22,G27,G32,G38,G43,G48,G54,G59,G64,G70,G75,G80)</f>
        <v>100</v>
      </c>
      <c r="K7" s="1">
        <f>_xlfn.STDEV.S(G6,G11,G16,G22,G27,G32,G38,G43,G48,G54,G59,G64,G70,G75,G80)</f>
        <v>0</v>
      </c>
      <c r="L7" s="1" t="s">
        <v>11</v>
      </c>
    </row>
    <row r="8" spans="1:13" x14ac:dyDescent="0.35">
      <c r="A8" s="9"/>
      <c r="B8" s="3">
        <v>1</v>
      </c>
      <c r="C8" s="3">
        <v>0.65</v>
      </c>
      <c r="D8" s="3" t="s">
        <v>8</v>
      </c>
      <c r="E8" s="3">
        <v>266</v>
      </c>
      <c r="F8" s="3">
        <v>100</v>
      </c>
      <c r="G8" s="3">
        <v>100</v>
      </c>
    </row>
    <row r="9" spans="1:13" x14ac:dyDescent="0.35">
      <c r="A9" s="9"/>
      <c r="B9" s="3">
        <v>1</v>
      </c>
      <c r="C9" s="3">
        <v>0.65</v>
      </c>
      <c r="D9" s="3" t="s">
        <v>9</v>
      </c>
      <c r="E9" s="3">
        <v>570</v>
      </c>
      <c r="F9" s="3">
        <v>100</v>
      </c>
      <c r="G9" s="3">
        <v>100</v>
      </c>
      <c r="H9" s="6" t="s">
        <v>3</v>
      </c>
      <c r="I9" s="6"/>
      <c r="J9" s="7" t="s">
        <v>4</v>
      </c>
      <c r="K9" s="7"/>
    </row>
    <row r="10" spans="1:13" x14ac:dyDescent="0.35">
      <c r="A10" s="9"/>
      <c r="B10" s="3">
        <v>1</v>
      </c>
      <c r="C10" s="3">
        <v>0.65</v>
      </c>
      <c r="D10" s="3" t="s">
        <v>10</v>
      </c>
      <c r="E10" s="3">
        <v>950</v>
      </c>
      <c r="F10" s="3">
        <v>96</v>
      </c>
      <c r="G10" s="3">
        <v>100</v>
      </c>
      <c r="H10" t="s">
        <v>21</v>
      </c>
      <c r="I10" t="s">
        <v>22</v>
      </c>
      <c r="J10" t="s">
        <v>21</v>
      </c>
      <c r="K10" t="s">
        <v>22</v>
      </c>
      <c r="L10" s="1" t="s">
        <v>20</v>
      </c>
    </row>
    <row r="11" spans="1:13" x14ac:dyDescent="0.35">
      <c r="A11" s="9"/>
      <c r="B11" s="3">
        <v>1</v>
      </c>
      <c r="C11" s="3">
        <v>0.65</v>
      </c>
      <c r="D11" s="3" t="s">
        <v>11</v>
      </c>
      <c r="E11" s="3">
        <v>1900</v>
      </c>
      <c r="F11" s="3">
        <v>100</v>
      </c>
      <c r="G11" s="3">
        <v>100</v>
      </c>
      <c r="H11">
        <f>AVERAGE(F2,F7,F12)</f>
        <v>100</v>
      </c>
      <c r="I11">
        <f>_xlfn.STDEV.S(F2,F7,F12)</f>
        <v>0</v>
      </c>
      <c r="J11">
        <f>AVERAGE(G2,G7,G12)</f>
        <v>100</v>
      </c>
      <c r="K11">
        <f>_xlfn.STDEV.S(G2,G7,G12)</f>
        <v>0</v>
      </c>
      <c r="L11" s="1">
        <v>1</v>
      </c>
      <c r="M11" s="1" t="s">
        <v>7</v>
      </c>
    </row>
    <row r="12" spans="1:13" x14ac:dyDescent="0.35">
      <c r="A12" s="8" t="s">
        <v>16</v>
      </c>
      <c r="B12" s="2">
        <v>1</v>
      </c>
      <c r="C12" s="2">
        <v>0.8</v>
      </c>
      <c r="D12" s="2" t="s">
        <v>7</v>
      </c>
      <c r="E12" s="2">
        <v>114</v>
      </c>
      <c r="F12" s="2">
        <v>100</v>
      </c>
      <c r="G12" s="2">
        <v>100</v>
      </c>
      <c r="H12">
        <f>AVERAGE(F3,F8,F13)</f>
        <v>100</v>
      </c>
      <c r="I12">
        <f>_xlfn.STDEV.S(F3,F8,F13)</f>
        <v>0</v>
      </c>
      <c r="J12">
        <f>AVERAGE(G3,G8,G13)</f>
        <v>100</v>
      </c>
      <c r="K12">
        <f>_xlfn.STDEV.S(G3,G8,G13)</f>
        <v>0</v>
      </c>
      <c r="L12" s="1">
        <v>1</v>
      </c>
      <c r="M12" s="1" t="s">
        <v>8</v>
      </c>
    </row>
    <row r="13" spans="1:13" x14ac:dyDescent="0.35">
      <c r="A13" s="8"/>
      <c r="B13" s="2">
        <v>1</v>
      </c>
      <c r="C13" s="2">
        <v>0.8</v>
      </c>
      <c r="D13" s="2" t="s">
        <v>8</v>
      </c>
      <c r="E13" s="2">
        <v>266</v>
      </c>
      <c r="F13" s="2">
        <v>100</v>
      </c>
      <c r="G13" s="2">
        <v>100</v>
      </c>
      <c r="H13">
        <f>AVERAGE(F4,F9,F14)</f>
        <v>100</v>
      </c>
      <c r="I13">
        <f>_xlfn.STDEV.S(F4,F9,F14)</f>
        <v>0</v>
      </c>
      <c r="J13">
        <f>AVERAGE(G4,G9,G14)</f>
        <v>100</v>
      </c>
      <c r="K13">
        <f>_xlfn.STDEV.S(G4,G9,G14)</f>
        <v>0</v>
      </c>
      <c r="L13" s="1">
        <v>1</v>
      </c>
      <c r="M13" s="1" t="s">
        <v>9</v>
      </c>
    </row>
    <row r="14" spans="1:13" x14ac:dyDescent="0.35">
      <c r="A14" s="8"/>
      <c r="B14" s="2">
        <v>1</v>
      </c>
      <c r="C14" s="2">
        <v>0.8</v>
      </c>
      <c r="D14" s="2" t="s">
        <v>9</v>
      </c>
      <c r="E14" s="2">
        <v>570</v>
      </c>
      <c r="F14" s="2">
        <v>100</v>
      </c>
      <c r="G14" s="2">
        <v>100</v>
      </c>
      <c r="H14">
        <f>AVERAGE(F5,F10,F15)</f>
        <v>98.666666666666671</v>
      </c>
      <c r="I14">
        <f>_xlfn.STDEV.S(F5,F10,F15)</f>
        <v>2.3094010767585034</v>
      </c>
      <c r="J14">
        <f>AVERAGE(G5,G10,G15)</f>
        <v>100</v>
      </c>
      <c r="K14">
        <f>_xlfn.STDEV.S(G5,G10,G15)</f>
        <v>0</v>
      </c>
      <c r="L14" s="1">
        <v>1</v>
      </c>
      <c r="M14" s="1" t="s">
        <v>10</v>
      </c>
    </row>
    <row r="15" spans="1:13" x14ac:dyDescent="0.35">
      <c r="A15" s="8"/>
      <c r="B15" s="2">
        <v>1</v>
      </c>
      <c r="C15" s="2">
        <v>0.8</v>
      </c>
      <c r="D15" s="2" t="s">
        <v>10</v>
      </c>
      <c r="E15" s="2">
        <v>950</v>
      </c>
      <c r="F15" s="2">
        <v>100</v>
      </c>
      <c r="G15" s="2">
        <v>100</v>
      </c>
      <c r="H15">
        <f>AVERAGE(F6,F11,F16)</f>
        <v>100</v>
      </c>
      <c r="I15">
        <f>_xlfn.STDEV.S(F6,F11,F16)</f>
        <v>0</v>
      </c>
      <c r="J15">
        <f>AVERAGE(G6,G11,G16)</f>
        <v>100</v>
      </c>
      <c r="K15">
        <f>_xlfn.STDEV.S(G6,G11,G16)</f>
        <v>0</v>
      </c>
      <c r="L15" s="1">
        <v>1</v>
      </c>
      <c r="M15" s="1" t="s">
        <v>11</v>
      </c>
    </row>
    <row r="16" spans="1:13" x14ac:dyDescent="0.35">
      <c r="A16" s="8"/>
      <c r="B16" s="2">
        <v>1</v>
      </c>
      <c r="C16" s="2">
        <v>0.8</v>
      </c>
      <c r="D16" s="2" t="s">
        <v>11</v>
      </c>
      <c r="E16" s="2">
        <v>1900</v>
      </c>
      <c r="F16" s="2">
        <v>100</v>
      </c>
      <c r="G16" s="2">
        <v>100</v>
      </c>
    </row>
    <row r="17" spans="1:13" x14ac:dyDescent="0.35">
      <c r="A17" s="4"/>
      <c r="B17" s="4"/>
      <c r="C17" s="4"/>
      <c r="D17" s="4"/>
      <c r="E17" s="4"/>
      <c r="F17" s="4"/>
      <c r="G17" s="4"/>
    </row>
    <row r="18" spans="1:13" x14ac:dyDescent="0.35">
      <c r="A18" s="8" t="s">
        <v>16</v>
      </c>
      <c r="B18" s="2">
        <v>2</v>
      </c>
      <c r="C18" s="2">
        <v>0.5</v>
      </c>
      <c r="D18" s="2" t="s">
        <v>7</v>
      </c>
      <c r="E18" s="2">
        <v>114</v>
      </c>
      <c r="F18" s="2"/>
      <c r="G18" s="2">
        <v>0</v>
      </c>
      <c r="H18" s="6" t="s">
        <v>3</v>
      </c>
      <c r="I18" s="6"/>
      <c r="J18" s="7" t="s">
        <v>4</v>
      </c>
      <c r="K18" s="7"/>
    </row>
    <row r="19" spans="1:13" x14ac:dyDescent="0.35">
      <c r="A19" s="8"/>
      <c r="B19" s="2">
        <v>2</v>
      </c>
      <c r="C19" s="2">
        <v>0.5</v>
      </c>
      <c r="D19" s="2" t="s">
        <v>8</v>
      </c>
      <c r="E19" s="2">
        <v>266</v>
      </c>
      <c r="F19" s="2">
        <v>100</v>
      </c>
      <c r="G19" s="2">
        <v>100</v>
      </c>
      <c r="H19" t="s">
        <v>21</v>
      </c>
      <c r="I19" t="s">
        <v>22</v>
      </c>
      <c r="J19" t="s">
        <v>21</v>
      </c>
      <c r="K19" t="s">
        <v>22</v>
      </c>
      <c r="L19" s="1" t="s">
        <v>20</v>
      </c>
    </row>
    <row r="20" spans="1:13" x14ac:dyDescent="0.35">
      <c r="A20" s="8"/>
      <c r="B20" s="2">
        <v>2</v>
      </c>
      <c r="C20" s="2">
        <v>0.5</v>
      </c>
      <c r="D20" s="2" t="s">
        <v>9</v>
      </c>
      <c r="E20" s="2">
        <v>570</v>
      </c>
      <c r="F20" s="2">
        <v>100</v>
      </c>
      <c r="G20" s="2">
        <v>100</v>
      </c>
      <c r="H20">
        <f>AVERAGE(F18,F23,F28)</f>
        <v>100</v>
      </c>
      <c r="I20">
        <f>_xlfn.STDEV.S(F18,F23,F28)</f>
        <v>0</v>
      </c>
      <c r="J20">
        <f>AVERAGE(G18,G23,G28)</f>
        <v>66.666666666666671</v>
      </c>
      <c r="K20">
        <f>_xlfn.STDEV.S(G18,G23,G28)</f>
        <v>57.735026918962575</v>
      </c>
      <c r="L20" s="5">
        <v>2</v>
      </c>
      <c r="M20" s="1" t="s">
        <v>7</v>
      </c>
    </row>
    <row r="21" spans="1:13" x14ac:dyDescent="0.35">
      <c r="A21" s="8"/>
      <c r="B21" s="2">
        <v>2</v>
      </c>
      <c r="C21" s="2">
        <v>0.5</v>
      </c>
      <c r="D21" s="2" t="s">
        <v>10</v>
      </c>
      <c r="E21" s="2">
        <v>950</v>
      </c>
      <c r="F21" s="2">
        <v>100</v>
      </c>
      <c r="G21" s="2">
        <v>100</v>
      </c>
      <c r="H21">
        <f>AVERAGE(F19,F24,F29)</f>
        <v>100</v>
      </c>
      <c r="I21">
        <f>_xlfn.STDEV.S(F19,F24,F29)</f>
        <v>0</v>
      </c>
      <c r="J21">
        <f>AVERAGE(G19,G24,G29)</f>
        <v>100</v>
      </c>
      <c r="K21">
        <f>_xlfn.STDEV.S(G19,G24,G29)</f>
        <v>0</v>
      </c>
      <c r="L21" s="5">
        <v>2</v>
      </c>
      <c r="M21" s="1" t="s">
        <v>8</v>
      </c>
    </row>
    <row r="22" spans="1:13" x14ac:dyDescent="0.35">
      <c r="A22" s="8"/>
      <c r="B22" s="2">
        <v>2</v>
      </c>
      <c r="C22" s="2">
        <v>0.5</v>
      </c>
      <c r="D22" s="2" t="s">
        <v>11</v>
      </c>
      <c r="E22" s="2">
        <v>1900</v>
      </c>
      <c r="F22" s="2">
        <v>100</v>
      </c>
      <c r="G22" s="2">
        <v>100</v>
      </c>
      <c r="H22">
        <f>AVERAGE(F20,F25,F30)</f>
        <v>100</v>
      </c>
      <c r="I22">
        <f>_xlfn.STDEV.S(F20,F25,F30)</f>
        <v>0</v>
      </c>
      <c r="J22">
        <f>AVERAGE(G20,G25,G30)</f>
        <v>100</v>
      </c>
      <c r="K22">
        <f>_xlfn.STDEV.S(G20,G25,G30)</f>
        <v>0</v>
      </c>
      <c r="L22" s="5">
        <v>2</v>
      </c>
      <c r="M22" s="1" t="s">
        <v>9</v>
      </c>
    </row>
    <row r="23" spans="1:13" x14ac:dyDescent="0.35">
      <c r="A23" s="9" t="s">
        <v>16</v>
      </c>
      <c r="B23" s="3">
        <v>2</v>
      </c>
      <c r="C23" s="3">
        <v>0.65</v>
      </c>
      <c r="D23" s="3" t="s">
        <v>7</v>
      </c>
      <c r="E23" s="3">
        <v>114</v>
      </c>
      <c r="F23" s="3">
        <v>100</v>
      </c>
      <c r="G23" s="3">
        <v>100</v>
      </c>
      <c r="H23">
        <f>AVERAGE(F21,F26,F31)</f>
        <v>100</v>
      </c>
      <c r="I23">
        <f>_xlfn.STDEV.S(F21,F26,F31)</f>
        <v>0</v>
      </c>
      <c r="J23">
        <f>AVERAGE(G21,G26,G31)</f>
        <v>100</v>
      </c>
      <c r="K23">
        <f>_xlfn.STDEV.S(G21,G26,G31)</f>
        <v>0</v>
      </c>
      <c r="L23" s="5">
        <v>2</v>
      </c>
      <c r="M23" s="1" t="s">
        <v>10</v>
      </c>
    </row>
    <row r="24" spans="1:13" x14ac:dyDescent="0.35">
      <c r="A24" s="9"/>
      <c r="B24" s="3">
        <v>2</v>
      </c>
      <c r="C24" s="3">
        <v>0.65</v>
      </c>
      <c r="D24" s="3" t="s">
        <v>8</v>
      </c>
      <c r="E24" s="3">
        <v>266</v>
      </c>
      <c r="F24" s="3">
        <v>100</v>
      </c>
      <c r="G24" s="3">
        <v>100</v>
      </c>
      <c r="H24">
        <f>AVERAGE(F22,F27,F32)</f>
        <v>100</v>
      </c>
      <c r="I24">
        <f>_xlfn.STDEV.S(F22,F27,F32)</f>
        <v>0</v>
      </c>
      <c r="J24">
        <f>AVERAGE(G22,G27,G32)</f>
        <v>100</v>
      </c>
      <c r="K24">
        <f>_xlfn.STDEV.S(G22,G27,G32)</f>
        <v>0</v>
      </c>
      <c r="L24" s="5">
        <v>2</v>
      </c>
      <c r="M24" s="1" t="s">
        <v>11</v>
      </c>
    </row>
    <row r="25" spans="1:13" x14ac:dyDescent="0.35">
      <c r="A25" s="9"/>
      <c r="B25" s="3">
        <v>2</v>
      </c>
      <c r="C25" s="3">
        <v>0.65</v>
      </c>
      <c r="D25" s="3" t="s">
        <v>9</v>
      </c>
      <c r="E25" s="3">
        <v>570</v>
      </c>
      <c r="F25" s="3">
        <v>100</v>
      </c>
      <c r="G25" s="3">
        <v>100</v>
      </c>
    </row>
    <row r="26" spans="1:13" x14ac:dyDescent="0.35">
      <c r="A26" s="9"/>
      <c r="B26" s="3">
        <v>2</v>
      </c>
      <c r="C26" s="3">
        <v>0.65</v>
      </c>
      <c r="D26" s="3" t="s">
        <v>10</v>
      </c>
      <c r="E26" s="3">
        <v>950</v>
      </c>
      <c r="F26" s="3">
        <v>100</v>
      </c>
      <c r="G26" s="3">
        <v>100</v>
      </c>
    </row>
    <row r="27" spans="1:13" x14ac:dyDescent="0.35">
      <c r="A27" s="9"/>
      <c r="B27" s="3">
        <v>2</v>
      </c>
      <c r="C27" s="3">
        <v>0.65</v>
      </c>
      <c r="D27" s="3" t="s">
        <v>11</v>
      </c>
      <c r="E27" s="3">
        <v>1900</v>
      </c>
      <c r="F27" s="3">
        <v>100</v>
      </c>
      <c r="G27" s="3">
        <v>100</v>
      </c>
    </row>
    <row r="28" spans="1:13" x14ac:dyDescent="0.35">
      <c r="A28" s="8" t="s">
        <v>16</v>
      </c>
      <c r="B28" s="2">
        <v>2</v>
      </c>
      <c r="C28" s="2">
        <v>0.8</v>
      </c>
      <c r="D28" s="2" t="s">
        <v>7</v>
      </c>
      <c r="E28" s="2">
        <v>114</v>
      </c>
      <c r="F28" s="2">
        <v>100</v>
      </c>
      <c r="G28" s="2">
        <v>100</v>
      </c>
    </row>
    <row r="29" spans="1:13" x14ac:dyDescent="0.35">
      <c r="A29" s="8"/>
      <c r="B29" s="2">
        <v>2</v>
      </c>
      <c r="C29" s="2">
        <v>0.8</v>
      </c>
      <c r="D29" s="2" t="s">
        <v>8</v>
      </c>
      <c r="E29" s="2">
        <v>266</v>
      </c>
      <c r="F29" s="2">
        <v>100</v>
      </c>
      <c r="G29" s="2">
        <v>100</v>
      </c>
    </row>
    <row r="30" spans="1:13" x14ac:dyDescent="0.35">
      <c r="A30" s="8"/>
      <c r="B30" s="2">
        <v>2</v>
      </c>
      <c r="C30" s="2">
        <v>0.8</v>
      </c>
      <c r="D30" s="2" t="s">
        <v>9</v>
      </c>
      <c r="E30" s="2">
        <v>570</v>
      </c>
      <c r="F30" s="2">
        <v>100</v>
      </c>
      <c r="G30" s="2">
        <v>100</v>
      </c>
    </row>
    <row r="31" spans="1:13" x14ac:dyDescent="0.35">
      <c r="A31" s="8"/>
      <c r="B31" s="2">
        <v>2</v>
      </c>
      <c r="C31" s="2">
        <v>0.8</v>
      </c>
      <c r="D31" s="2" t="s">
        <v>10</v>
      </c>
      <c r="E31" s="2">
        <v>950</v>
      </c>
      <c r="F31" s="2">
        <v>100</v>
      </c>
      <c r="G31" s="2">
        <v>100</v>
      </c>
    </row>
    <row r="32" spans="1:13" x14ac:dyDescent="0.35">
      <c r="A32" s="8"/>
      <c r="B32" s="2">
        <v>2</v>
      </c>
      <c r="C32" s="2">
        <v>0.8</v>
      </c>
      <c r="D32" s="2" t="s">
        <v>11</v>
      </c>
      <c r="E32" s="2">
        <v>1900</v>
      </c>
      <c r="F32" s="2">
        <v>100</v>
      </c>
      <c r="G32" s="2">
        <v>100</v>
      </c>
    </row>
    <row r="33" spans="1:13" x14ac:dyDescent="0.35">
      <c r="A33" s="4"/>
      <c r="B33" s="4"/>
      <c r="C33" s="4"/>
      <c r="D33" s="4"/>
      <c r="E33" s="4"/>
      <c r="F33" s="4"/>
      <c r="G33" s="4"/>
    </row>
    <row r="34" spans="1:13" x14ac:dyDescent="0.35">
      <c r="A34" s="8" t="s">
        <v>16</v>
      </c>
      <c r="B34" s="2">
        <v>3</v>
      </c>
      <c r="C34" s="2">
        <v>0.5</v>
      </c>
      <c r="D34" s="2" t="s">
        <v>7</v>
      </c>
      <c r="E34" s="2">
        <v>114</v>
      </c>
      <c r="F34" s="2">
        <v>100</v>
      </c>
      <c r="G34" s="2">
        <v>57.14</v>
      </c>
    </row>
    <row r="35" spans="1:13" x14ac:dyDescent="0.35">
      <c r="A35" s="8"/>
      <c r="B35" s="2">
        <v>3</v>
      </c>
      <c r="C35" s="2">
        <v>0.5</v>
      </c>
      <c r="D35" s="2" t="s">
        <v>8</v>
      </c>
      <c r="E35" s="2">
        <v>266</v>
      </c>
      <c r="F35" s="2">
        <v>100</v>
      </c>
      <c r="G35" s="2">
        <v>100</v>
      </c>
      <c r="H35" s="6" t="s">
        <v>3</v>
      </c>
      <c r="I35" s="6"/>
      <c r="J35" s="7" t="s">
        <v>4</v>
      </c>
      <c r="K35" s="7"/>
    </row>
    <row r="36" spans="1:13" x14ac:dyDescent="0.35">
      <c r="A36" s="8"/>
      <c r="B36" s="2">
        <v>3</v>
      </c>
      <c r="C36" s="2">
        <v>0.5</v>
      </c>
      <c r="D36" s="2" t="s">
        <v>9</v>
      </c>
      <c r="E36" s="2">
        <v>570</v>
      </c>
      <c r="F36" s="2">
        <v>100</v>
      </c>
      <c r="G36" s="2">
        <v>100</v>
      </c>
      <c r="H36" t="s">
        <v>21</v>
      </c>
      <c r="I36" t="s">
        <v>22</v>
      </c>
      <c r="J36" t="s">
        <v>21</v>
      </c>
      <c r="K36" t="s">
        <v>22</v>
      </c>
      <c r="L36" s="1" t="s">
        <v>20</v>
      </c>
    </row>
    <row r="37" spans="1:13" x14ac:dyDescent="0.35">
      <c r="A37" s="8"/>
      <c r="B37" s="2">
        <v>3</v>
      </c>
      <c r="C37" s="2">
        <v>0.5</v>
      </c>
      <c r="D37" s="2" t="s">
        <v>10</v>
      </c>
      <c r="E37" s="2">
        <v>950</v>
      </c>
      <c r="F37" s="2">
        <v>100</v>
      </c>
      <c r="G37" s="2">
        <v>100</v>
      </c>
      <c r="H37">
        <f>AVERAGE(F34,F39,F44)</f>
        <v>100</v>
      </c>
      <c r="I37">
        <f>_xlfn.STDEV.S(F34,F39,F44)</f>
        <v>0</v>
      </c>
      <c r="J37">
        <f>AVERAGE(G34,G39,G44)</f>
        <v>69.046666666666667</v>
      </c>
      <c r="K37">
        <f>_xlfn.STDEV.S(G34,G39,G44)</f>
        <v>27.043049630789326</v>
      </c>
      <c r="L37" s="5">
        <v>3</v>
      </c>
      <c r="M37" s="1" t="s">
        <v>7</v>
      </c>
    </row>
    <row r="38" spans="1:13" x14ac:dyDescent="0.35">
      <c r="A38" s="8"/>
      <c r="B38" s="2">
        <v>3</v>
      </c>
      <c r="C38" s="2">
        <v>0.5</v>
      </c>
      <c r="D38" s="2" t="s">
        <v>11</v>
      </c>
      <c r="E38" s="2">
        <v>1900</v>
      </c>
      <c r="F38" s="2">
        <v>100</v>
      </c>
      <c r="G38" s="2">
        <v>100</v>
      </c>
      <c r="H38">
        <f>AVERAGE(F35,F40,F45)</f>
        <v>100</v>
      </c>
      <c r="I38">
        <f>_xlfn.STDEV.S(F35,F40,F45)</f>
        <v>0</v>
      </c>
      <c r="J38">
        <f>AVERAGE(G35,G40,G45)</f>
        <v>100</v>
      </c>
      <c r="K38">
        <f>_xlfn.STDEV.S(G35,G40,G45)</f>
        <v>0</v>
      </c>
      <c r="L38" s="5">
        <v>3</v>
      </c>
      <c r="M38" s="1" t="s">
        <v>8</v>
      </c>
    </row>
    <row r="39" spans="1:13" x14ac:dyDescent="0.35">
      <c r="A39" s="9" t="s">
        <v>16</v>
      </c>
      <c r="B39" s="3">
        <v>3</v>
      </c>
      <c r="C39" s="3">
        <v>0.65</v>
      </c>
      <c r="D39" s="3" t="s">
        <v>7</v>
      </c>
      <c r="E39" s="3">
        <v>114</v>
      </c>
      <c r="F39" s="3">
        <v>100</v>
      </c>
      <c r="G39" s="3">
        <v>50</v>
      </c>
      <c r="H39">
        <f>AVERAGE(F36,F41,F46)</f>
        <v>100</v>
      </c>
      <c r="I39">
        <f>_xlfn.STDEV.S(F36,F41,F46)</f>
        <v>0</v>
      </c>
      <c r="J39">
        <f>AVERAGE(G36,G41,G46)</f>
        <v>100</v>
      </c>
      <c r="K39">
        <f>_xlfn.STDEV.S(G36,G41,G46)</f>
        <v>0</v>
      </c>
      <c r="L39" s="5">
        <v>3</v>
      </c>
      <c r="M39" s="1" t="s">
        <v>9</v>
      </c>
    </row>
    <row r="40" spans="1:13" x14ac:dyDescent="0.35">
      <c r="A40" s="9"/>
      <c r="B40" s="3">
        <v>3</v>
      </c>
      <c r="C40" s="3">
        <v>0.65</v>
      </c>
      <c r="D40" s="3" t="s">
        <v>8</v>
      </c>
      <c r="E40" s="3">
        <v>266</v>
      </c>
      <c r="F40" s="3">
        <v>100</v>
      </c>
      <c r="G40" s="3">
        <v>100</v>
      </c>
      <c r="H40">
        <f>AVERAGE(F37,F42,F47)</f>
        <v>100</v>
      </c>
      <c r="I40">
        <f>_xlfn.STDEV.S(F37,F42,F47)</f>
        <v>0</v>
      </c>
      <c r="J40">
        <f>AVERAGE(G37,G42,G47)</f>
        <v>100</v>
      </c>
      <c r="K40">
        <f>_xlfn.STDEV.S(G37,G42,G47)</f>
        <v>0</v>
      </c>
      <c r="L40" s="5">
        <v>3</v>
      </c>
      <c r="M40" s="1" t="s">
        <v>10</v>
      </c>
    </row>
    <row r="41" spans="1:13" x14ac:dyDescent="0.35">
      <c r="A41" s="9"/>
      <c r="B41" s="3">
        <v>3</v>
      </c>
      <c r="C41" s="3">
        <v>0.65</v>
      </c>
      <c r="D41" s="3" t="s">
        <v>9</v>
      </c>
      <c r="E41" s="3">
        <v>570</v>
      </c>
      <c r="F41" s="3">
        <v>100</v>
      </c>
      <c r="G41" s="3">
        <v>100</v>
      </c>
      <c r="H41">
        <f>AVERAGE(F38,F43,F48)</f>
        <v>100</v>
      </c>
      <c r="I41">
        <f>_xlfn.STDEV.S(F38,F43,F48)</f>
        <v>0</v>
      </c>
      <c r="J41">
        <f>AVERAGE(G38,G43,G48)</f>
        <v>100</v>
      </c>
      <c r="K41">
        <f>_xlfn.STDEV.S(G38,G43,G48)</f>
        <v>0</v>
      </c>
      <c r="L41" s="5">
        <v>3</v>
      </c>
      <c r="M41" s="1" t="s">
        <v>11</v>
      </c>
    </row>
    <row r="42" spans="1:13" x14ac:dyDescent="0.35">
      <c r="A42" s="9"/>
      <c r="B42" s="3">
        <v>3</v>
      </c>
      <c r="C42" s="3">
        <v>0.65</v>
      </c>
      <c r="D42" s="3" t="s">
        <v>10</v>
      </c>
      <c r="E42" s="3">
        <v>950</v>
      </c>
      <c r="F42" s="3">
        <v>100</v>
      </c>
      <c r="G42" s="3">
        <v>100</v>
      </c>
    </row>
    <row r="43" spans="1:13" x14ac:dyDescent="0.35">
      <c r="A43" s="9"/>
      <c r="B43" s="3">
        <v>3</v>
      </c>
      <c r="C43" s="3">
        <v>0.65</v>
      </c>
      <c r="D43" s="3" t="s">
        <v>11</v>
      </c>
      <c r="E43" s="3">
        <v>1900</v>
      </c>
      <c r="F43" s="3">
        <v>100</v>
      </c>
      <c r="G43" s="3">
        <v>100</v>
      </c>
    </row>
    <row r="44" spans="1:13" x14ac:dyDescent="0.35">
      <c r="A44" s="8" t="s">
        <v>16</v>
      </c>
      <c r="B44" s="2">
        <v>3</v>
      </c>
      <c r="C44" s="2">
        <v>0.8</v>
      </c>
      <c r="D44" s="2" t="s">
        <v>7</v>
      </c>
      <c r="E44" s="2">
        <v>114</v>
      </c>
      <c r="F44" s="2">
        <v>100</v>
      </c>
      <c r="G44" s="2">
        <v>100</v>
      </c>
    </row>
    <row r="45" spans="1:13" x14ac:dyDescent="0.35">
      <c r="A45" s="8"/>
      <c r="B45" s="2">
        <v>3</v>
      </c>
      <c r="C45" s="2">
        <v>0.8</v>
      </c>
      <c r="D45" s="2" t="s">
        <v>8</v>
      </c>
      <c r="E45" s="2">
        <v>266</v>
      </c>
      <c r="F45" s="2">
        <v>100</v>
      </c>
      <c r="G45" s="2">
        <v>100</v>
      </c>
    </row>
    <row r="46" spans="1:13" x14ac:dyDescent="0.35">
      <c r="A46" s="8"/>
      <c r="B46" s="2">
        <v>3</v>
      </c>
      <c r="C46" s="2">
        <v>0.8</v>
      </c>
      <c r="D46" s="2" t="s">
        <v>9</v>
      </c>
      <c r="E46" s="2">
        <v>570</v>
      </c>
      <c r="F46" s="2">
        <v>100</v>
      </c>
      <c r="G46" s="2">
        <v>100</v>
      </c>
    </row>
    <row r="47" spans="1:13" x14ac:dyDescent="0.35">
      <c r="A47" s="8"/>
      <c r="B47" s="2">
        <v>3</v>
      </c>
      <c r="C47" s="2">
        <v>0.8</v>
      </c>
      <c r="D47" s="2" t="s">
        <v>10</v>
      </c>
      <c r="E47" s="2">
        <v>950</v>
      </c>
      <c r="F47" s="2">
        <v>100</v>
      </c>
      <c r="G47" s="2">
        <v>100</v>
      </c>
    </row>
    <row r="48" spans="1:13" x14ac:dyDescent="0.35">
      <c r="A48" s="8"/>
      <c r="B48" s="2">
        <v>3</v>
      </c>
      <c r="C48" s="2">
        <v>0.8</v>
      </c>
      <c r="D48" s="2" t="s">
        <v>11</v>
      </c>
      <c r="E48" s="2">
        <v>1900</v>
      </c>
      <c r="F48" s="2">
        <v>100</v>
      </c>
      <c r="G48" s="2">
        <v>100</v>
      </c>
    </row>
    <row r="49" spans="1:13" x14ac:dyDescent="0.35">
      <c r="A49" s="4"/>
      <c r="B49" s="4"/>
      <c r="C49" s="4"/>
      <c r="D49" s="4"/>
      <c r="E49" s="4"/>
      <c r="F49" s="4"/>
      <c r="G49" s="4"/>
    </row>
    <row r="50" spans="1:13" x14ac:dyDescent="0.35">
      <c r="A50" s="8" t="s">
        <v>16</v>
      </c>
      <c r="B50" s="2">
        <v>4</v>
      </c>
      <c r="C50" s="2">
        <v>0.5</v>
      </c>
      <c r="D50" s="2" t="s">
        <v>7</v>
      </c>
      <c r="E50" s="2">
        <v>114</v>
      </c>
      <c r="F50" s="2">
        <v>100</v>
      </c>
      <c r="G50" s="2">
        <v>100</v>
      </c>
      <c r="H50" s="6" t="s">
        <v>3</v>
      </c>
      <c r="I50" s="6"/>
      <c r="J50" s="7" t="s">
        <v>4</v>
      </c>
      <c r="K50" s="7"/>
    </row>
    <row r="51" spans="1:13" x14ac:dyDescent="0.35">
      <c r="A51" s="8"/>
      <c r="B51" s="2">
        <v>4</v>
      </c>
      <c r="C51" s="2">
        <v>0.5</v>
      </c>
      <c r="D51" s="2" t="s">
        <v>8</v>
      </c>
      <c r="E51" s="2">
        <v>266</v>
      </c>
      <c r="F51" s="2">
        <v>100</v>
      </c>
      <c r="G51" s="2">
        <v>100</v>
      </c>
      <c r="H51" t="s">
        <v>21</v>
      </c>
      <c r="I51" t="s">
        <v>22</v>
      </c>
      <c r="J51" t="s">
        <v>21</v>
      </c>
      <c r="K51" t="s">
        <v>22</v>
      </c>
      <c r="L51" s="1" t="s">
        <v>20</v>
      </c>
    </row>
    <row r="52" spans="1:13" x14ac:dyDescent="0.35">
      <c r="A52" s="8"/>
      <c r="B52" s="2">
        <v>4</v>
      </c>
      <c r="C52" s="2">
        <v>0.5</v>
      </c>
      <c r="D52" s="2" t="s">
        <v>9</v>
      </c>
      <c r="E52" s="2">
        <v>570</v>
      </c>
      <c r="F52" s="2">
        <v>100</v>
      </c>
      <c r="G52" s="2">
        <v>100</v>
      </c>
      <c r="H52">
        <f>AVERAGE(F50,F55,F60)</f>
        <v>100</v>
      </c>
      <c r="I52">
        <f>_xlfn.STDEV.S(F50,F55,F60)</f>
        <v>0</v>
      </c>
      <c r="J52">
        <f>AVERAGE(G50,G55,G60)</f>
        <v>100</v>
      </c>
      <c r="K52">
        <f>_xlfn.STDEV.S(G50,G55,G60)</f>
        <v>0</v>
      </c>
      <c r="L52" s="5">
        <v>4</v>
      </c>
      <c r="M52" s="1" t="s">
        <v>7</v>
      </c>
    </row>
    <row r="53" spans="1:13" x14ac:dyDescent="0.35">
      <c r="A53" s="8"/>
      <c r="B53" s="2">
        <v>4</v>
      </c>
      <c r="C53" s="2">
        <v>0.5</v>
      </c>
      <c r="D53" s="2" t="s">
        <v>10</v>
      </c>
      <c r="E53" s="2">
        <v>950</v>
      </c>
      <c r="F53" s="2">
        <v>100</v>
      </c>
      <c r="G53" s="2">
        <v>100</v>
      </c>
      <c r="H53">
        <f>AVERAGE(F51,F56,F61)</f>
        <v>100</v>
      </c>
      <c r="I53">
        <f>_xlfn.STDEV.S(F51,F56,F61)</f>
        <v>0</v>
      </c>
      <c r="J53">
        <f>AVERAGE(G51,G56,G61)</f>
        <v>100</v>
      </c>
      <c r="K53">
        <f>_xlfn.STDEV.S(G51,G56,G61)</f>
        <v>0</v>
      </c>
      <c r="L53" s="5">
        <v>4</v>
      </c>
      <c r="M53" s="1" t="s">
        <v>8</v>
      </c>
    </row>
    <row r="54" spans="1:13" x14ac:dyDescent="0.35">
      <c r="A54" s="8"/>
      <c r="B54" s="2">
        <v>4</v>
      </c>
      <c r="C54" s="2">
        <v>0.5</v>
      </c>
      <c r="D54" s="2" t="s">
        <v>11</v>
      </c>
      <c r="E54" s="2">
        <v>1900</v>
      </c>
      <c r="F54" s="2">
        <v>100</v>
      </c>
      <c r="G54" s="2">
        <v>100</v>
      </c>
      <c r="H54">
        <f>AVERAGE(F52,F57,F62)</f>
        <v>100</v>
      </c>
      <c r="I54">
        <f>_xlfn.STDEV.S(F52,F57,F62)</f>
        <v>0</v>
      </c>
      <c r="J54">
        <f>AVERAGE(G52,G57,G62)</f>
        <v>100</v>
      </c>
      <c r="K54">
        <f>_xlfn.STDEV.S(G52,G57,G62)</f>
        <v>0</v>
      </c>
      <c r="L54" s="5">
        <v>4</v>
      </c>
      <c r="M54" s="1" t="s">
        <v>9</v>
      </c>
    </row>
    <row r="55" spans="1:13" x14ac:dyDescent="0.35">
      <c r="A55" s="9" t="s">
        <v>16</v>
      </c>
      <c r="B55" s="3">
        <v>4</v>
      </c>
      <c r="C55" s="3">
        <v>0.65</v>
      </c>
      <c r="D55" s="3" t="s">
        <v>7</v>
      </c>
      <c r="E55" s="3">
        <v>114</v>
      </c>
      <c r="F55" s="3">
        <v>100</v>
      </c>
      <c r="G55" s="3">
        <v>100</v>
      </c>
      <c r="H55">
        <f>AVERAGE(F53,F58,F63)</f>
        <v>100</v>
      </c>
      <c r="I55">
        <f>_xlfn.STDEV.S(F53,F58,F63)</f>
        <v>0</v>
      </c>
      <c r="J55">
        <f>AVERAGE(G53,G58,G63)</f>
        <v>100</v>
      </c>
      <c r="K55">
        <f>_xlfn.STDEV.S(G53,G58,G63)</f>
        <v>0</v>
      </c>
      <c r="L55" s="5">
        <v>4</v>
      </c>
      <c r="M55" s="1" t="s">
        <v>10</v>
      </c>
    </row>
    <row r="56" spans="1:13" x14ac:dyDescent="0.35">
      <c r="A56" s="9"/>
      <c r="B56" s="3">
        <v>4</v>
      </c>
      <c r="C56" s="3">
        <v>0.65</v>
      </c>
      <c r="D56" s="3" t="s">
        <v>8</v>
      </c>
      <c r="E56" s="3">
        <v>266</v>
      </c>
      <c r="F56" s="3">
        <v>100</v>
      </c>
      <c r="G56" s="3">
        <v>100</v>
      </c>
      <c r="H56">
        <f>AVERAGE(F54,F59,F64)</f>
        <v>100</v>
      </c>
      <c r="I56">
        <f>_xlfn.STDEV.S(F54,F59,F64)</f>
        <v>0</v>
      </c>
      <c r="J56">
        <f>AVERAGE(G54,G59,G64)</f>
        <v>100</v>
      </c>
      <c r="K56">
        <f>_xlfn.STDEV.S(G54,G59,G64)</f>
        <v>0</v>
      </c>
      <c r="L56" s="5">
        <v>4</v>
      </c>
      <c r="M56" s="1" t="s">
        <v>11</v>
      </c>
    </row>
    <row r="57" spans="1:13" x14ac:dyDescent="0.35">
      <c r="A57" s="9"/>
      <c r="B57" s="3">
        <v>4</v>
      </c>
      <c r="C57" s="3">
        <v>0.65</v>
      </c>
      <c r="D57" s="3" t="s">
        <v>9</v>
      </c>
      <c r="E57" s="3">
        <v>570</v>
      </c>
      <c r="F57" s="3">
        <v>100</v>
      </c>
      <c r="G57" s="3">
        <v>100</v>
      </c>
    </row>
    <row r="58" spans="1:13" x14ac:dyDescent="0.35">
      <c r="A58" s="9"/>
      <c r="B58" s="3">
        <v>4</v>
      </c>
      <c r="C58" s="3">
        <v>0.65</v>
      </c>
      <c r="D58" s="3" t="s">
        <v>10</v>
      </c>
      <c r="E58" s="3">
        <v>950</v>
      </c>
      <c r="F58" s="3">
        <v>100</v>
      </c>
      <c r="G58" s="3">
        <v>100</v>
      </c>
    </row>
    <row r="59" spans="1:13" x14ac:dyDescent="0.35">
      <c r="A59" s="9"/>
      <c r="B59" s="3">
        <v>4</v>
      </c>
      <c r="C59" s="3">
        <v>0.65</v>
      </c>
      <c r="D59" s="3" t="s">
        <v>11</v>
      </c>
      <c r="E59" s="3">
        <v>1900</v>
      </c>
      <c r="F59" s="3">
        <v>100</v>
      </c>
      <c r="G59" s="3">
        <v>100</v>
      </c>
    </row>
    <row r="60" spans="1:13" x14ac:dyDescent="0.35">
      <c r="A60" s="8" t="s">
        <v>16</v>
      </c>
      <c r="B60" s="2">
        <v>4</v>
      </c>
      <c r="C60" s="2">
        <v>0.8</v>
      </c>
      <c r="D60" s="2" t="s">
        <v>7</v>
      </c>
      <c r="E60" s="2">
        <v>114</v>
      </c>
      <c r="F60" s="2">
        <v>100</v>
      </c>
      <c r="G60" s="2">
        <v>100</v>
      </c>
    </row>
    <row r="61" spans="1:13" x14ac:dyDescent="0.35">
      <c r="A61" s="8"/>
      <c r="B61" s="2">
        <v>4</v>
      </c>
      <c r="C61" s="2">
        <v>0.8</v>
      </c>
      <c r="D61" s="2" t="s">
        <v>8</v>
      </c>
      <c r="E61" s="2">
        <v>266</v>
      </c>
      <c r="F61" s="2">
        <v>100</v>
      </c>
      <c r="G61" s="2">
        <v>100</v>
      </c>
    </row>
    <row r="62" spans="1:13" x14ac:dyDescent="0.35">
      <c r="A62" s="8"/>
      <c r="B62" s="2">
        <v>4</v>
      </c>
      <c r="C62" s="2">
        <v>0.8</v>
      </c>
      <c r="D62" s="2" t="s">
        <v>9</v>
      </c>
      <c r="E62" s="2">
        <v>570</v>
      </c>
      <c r="F62" s="2">
        <v>100</v>
      </c>
      <c r="G62" s="2">
        <v>100</v>
      </c>
    </row>
    <row r="63" spans="1:13" x14ac:dyDescent="0.35">
      <c r="A63" s="8"/>
      <c r="B63" s="2">
        <v>4</v>
      </c>
      <c r="C63" s="2">
        <v>0.8</v>
      </c>
      <c r="D63" s="2" t="s">
        <v>10</v>
      </c>
      <c r="E63" s="2">
        <v>950</v>
      </c>
      <c r="F63" s="2">
        <v>100</v>
      </c>
      <c r="G63" s="2">
        <v>100</v>
      </c>
    </row>
    <row r="64" spans="1:13" x14ac:dyDescent="0.35">
      <c r="A64" s="8"/>
      <c r="B64" s="2">
        <v>4</v>
      </c>
      <c r="C64" s="2">
        <v>0.8</v>
      </c>
      <c r="D64" s="2" t="s">
        <v>11</v>
      </c>
      <c r="E64" s="2">
        <v>1900</v>
      </c>
      <c r="F64" s="2">
        <v>100</v>
      </c>
      <c r="G64" s="2">
        <v>100</v>
      </c>
    </row>
    <row r="65" spans="1:13" x14ac:dyDescent="0.35">
      <c r="A65" s="4"/>
      <c r="B65" s="4"/>
      <c r="C65" s="4"/>
      <c r="D65" s="4"/>
      <c r="E65" s="4"/>
      <c r="F65" s="4"/>
      <c r="G65" s="4"/>
    </row>
    <row r="66" spans="1:13" x14ac:dyDescent="0.35">
      <c r="A66" s="8" t="s">
        <v>16</v>
      </c>
      <c r="B66" s="2">
        <v>5</v>
      </c>
      <c r="C66" s="2">
        <v>0.5</v>
      </c>
      <c r="D66" s="2" t="s">
        <v>7</v>
      </c>
      <c r="E66" s="2">
        <v>114</v>
      </c>
      <c r="F66" s="2">
        <v>100</v>
      </c>
      <c r="G66" s="2">
        <v>100</v>
      </c>
    </row>
    <row r="67" spans="1:13" x14ac:dyDescent="0.35">
      <c r="A67" s="8"/>
      <c r="B67" s="2">
        <v>5</v>
      </c>
      <c r="C67" s="2">
        <v>0.5</v>
      </c>
      <c r="D67" s="2" t="s">
        <v>8</v>
      </c>
      <c r="E67" s="2">
        <v>266</v>
      </c>
      <c r="F67" s="2">
        <v>100</v>
      </c>
      <c r="G67" s="2">
        <v>100</v>
      </c>
      <c r="H67" s="6" t="s">
        <v>3</v>
      </c>
      <c r="I67" s="6"/>
      <c r="J67" s="7" t="s">
        <v>4</v>
      </c>
      <c r="K67" s="7"/>
    </row>
    <row r="68" spans="1:13" x14ac:dyDescent="0.35">
      <c r="A68" s="8"/>
      <c r="B68" s="2">
        <v>5</v>
      </c>
      <c r="C68" s="2">
        <v>0.5</v>
      </c>
      <c r="D68" s="2" t="s">
        <v>9</v>
      </c>
      <c r="E68" s="2">
        <v>570</v>
      </c>
      <c r="F68" s="2">
        <v>100</v>
      </c>
      <c r="G68" s="2">
        <v>100</v>
      </c>
      <c r="H68" t="s">
        <v>21</v>
      </c>
      <c r="I68" t="s">
        <v>22</v>
      </c>
      <c r="J68" t="s">
        <v>21</v>
      </c>
      <c r="K68" t="s">
        <v>22</v>
      </c>
      <c r="L68" s="1" t="s">
        <v>20</v>
      </c>
    </row>
    <row r="69" spans="1:13" x14ac:dyDescent="0.35">
      <c r="A69" s="8"/>
      <c r="B69" s="2">
        <v>5</v>
      </c>
      <c r="C69" s="2">
        <v>0.5</v>
      </c>
      <c r="D69" s="2" t="s">
        <v>10</v>
      </c>
      <c r="E69" s="2">
        <v>950</v>
      </c>
      <c r="F69" s="2">
        <v>100</v>
      </c>
      <c r="G69" s="2">
        <v>100</v>
      </c>
      <c r="H69">
        <f>AVERAGE(F66,F71,F76)</f>
        <v>100</v>
      </c>
      <c r="I69">
        <f>_xlfn.STDEV.S(F66,F71,F76)</f>
        <v>0</v>
      </c>
      <c r="J69">
        <f>AVERAGE(G66,G71,G76)</f>
        <v>100</v>
      </c>
      <c r="K69">
        <f>_xlfn.STDEV.S(G66,G71,G76)</f>
        <v>0</v>
      </c>
      <c r="L69" s="5">
        <v>5</v>
      </c>
      <c r="M69" s="1" t="s">
        <v>7</v>
      </c>
    </row>
    <row r="70" spans="1:13" x14ac:dyDescent="0.35">
      <c r="A70" s="8"/>
      <c r="B70" s="2">
        <v>5</v>
      </c>
      <c r="C70" s="2">
        <v>0.5</v>
      </c>
      <c r="D70" s="2" t="s">
        <v>11</v>
      </c>
      <c r="E70" s="2">
        <v>1900</v>
      </c>
      <c r="F70" s="2">
        <v>100</v>
      </c>
      <c r="G70" s="2">
        <v>100</v>
      </c>
      <c r="H70">
        <f>AVERAGE(F67,F72,F77)</f>
        <v>100</v>
      </c>
      <c r="I70">
        <f>_xlfn.STDEV.S(F67,F72,F77)</f>
        <v>0</v>
      </c>
      <c r="J70">
        <f>AVERAGE(G67,G72,G77)</f>
        <v>100</v>
      </c>
      <c r="K70">
        <f>_xlfn.STDEV.S(G67,G72,G77)</f>
        <v>0</v>
      </c>
      <c r="L70" s="5">
        <v>5</v>
      </c>
      <c r="M70" s="1" t="s">
        <v>8</v>
      </c>
    </row>
    <row r="71" spans="1:13" x14ac:dyDescent="0.35">
      <c r="A71" s="9" t="s">
        <v>16</v>
      </c>
      <c r="B71" s="3">
        <v>5</v>
      </c>
      <c r="C71" s="3">
        <v>0.65</v>
      </c>
      <c r="D71" s="3" t="s">
        <v>7</v>
      </c>
      <c r="E71" s="3">
        <v>114</v>
      </c>
      <c r="F71" s="3">
        <v>100</v>
      </c>
      <c r="G71" s="3">
        <v>100</v>
      </c>
      <c r="H71">
        <f>AVERAGE(F68,F73,F78)</f>
        <v>100</v>
      </c>
      <c r="I71">
        <f>_xlfn.STDEV.S(F68,F73,F78)</f>
        <v>0</v>
      </c>
      <c r="J71">
        <f>AVERAGE(G68,G73,G78)</f>
        <v>100</v>
      </c>
      <c r="K71">
        <f>_xlfn.STDEV.S(G68,G73,G78)</f>
        <v>0</v>
      </c>
      <c r="L71" s="5">
        <v>5</v>
      </c>
      <c r="M71" s="1" t="s">
        <v>9</v>
      </c>
    </row>
    <row r="72" spans="1:13" x14ac:dyDescent="0.35">
      <c r="A72" s="9"/>
      <c r="B72" s="3">
        <v>5</v>
      </c>
      <c r="C72" s="3">
        <v>0.65</v>
      </c>
      <c r="D72" s="3" t="s">
        <v>8</v>
      </c>
      <c r="E72" s="3">
        <v>266</v>
      </c>
      <c r="F72" s="3">
        <v>100</v>
      </c>
      <c r="G72" s="3">
        <v>100</v>
      </c>
      <c r="H72">
        <f>AVERAGE(F69,F74,F79)</f>
        <v>100</v>
      </c>
      <c r="I72">
        <f>_xlfn.STDEV.S(F69,F74,F79)</f>
        <v>0</v>
      </c>
      <c r="J72">
        <f>AVERAGE(G69,G74,G79)</f>
        <v>100</v>
      </c>
      <c r="K72">
        <f>_xlfn.STDEV.S(G69,G74,G79)</f>
        <v>0</v>
      </c>
      <c r="L72" s="5">
        <v>5</v>
      </c>
      <c r="M72" s="1" t="s">
        <v>10</v>
      </c>
    </row>
    <row r="73" spans="1:13" x14ac:dyDescent="0.35">
      <c r="A73" s="9"/>
      <c r="B73" s="3">
        <v>5</v>
      </c>
      <c r="C73" s="3">
        <v>0.65</v>
      </c>
      <c r="D73" s="3" t="s">
        <v>9</v>
      </c>
      <c r="E73" s="3">
        <v>570</v>
      </c>
      <c r="F73" s="3">
        <v>100</v>
      </c>
      <c r="G73" s="3">
        <v>100</v>
      </c>
      <c r="H73">
        <f>AVERAGE(F70,F75,F80)</f>
        <v>100</v>
      </c>
      <c r="I73">
        <f>_xlfn.STDEV.S(F70,F75,F80)</f>
        <v>0</v>
      </c>
      <c r="J73">
        <f>AVERAGE(G70,G75,G80)</f>
        <v>100</v>
      </c>
      <c r="K73">
        <f>_xlfn.STDEV.S(G70,G75,G80)</f>
        <v>0</v>
      </c>
      <c r="L73" s="5">
        <v>5</v>
      </c>
      <c r="M73" s="1" t="s">
        <v>11</v>
      </c>
    </row>
    <row r="74" spans="1:13" x14ac:dyDescent="0.35">
      <c r="A74" s="9"/>
      <c r="B74" s="3">
        <v>5</v>
      </c>
      <c r="C74" s="3">
        <v>0.65</v>
      </c>
      <c r="D74" s="3" t="s">
        <v>10</v>
      </c>
      <c r="E74" s="3">
        <v>950</v>
      </c>
      <c r="F74" s="3">
        <v>100</v>
      </c>
      <c r="G74" s="3">
        <v>100</v>
      </c>
    </row>
    <row r="75" spans="1:13" x14ac:dyDescent="0.35">
      <c r="A75" s="9"/>
      <c r="B75" s="3">
        <v>5</v>
      </c>
      <c r="C75" s="3">
        <v>0.65</v>
      </c>
      <c r="D75" s="3" t="s">
        <v>11</v>
      </c>
      <c r="E75" s="3">
        <v>1900</v>
      </c>
      <c r="F75" s="3">
        <v>100</v>
      </c>
      <c r="G75" s="3">
        <v>100</v>
      </c>
    </row>
    <row r="76" spans="1:13" x14ac:dyDescent="0.35">
      <c r="A76" s="8" t="s">
        <v>16</v>
      </c>
      <c r="B76" s="2">
        <v>5</v>
      </c>
      <c r="C76" s="2">
        <v>0.8</v>
      </c>
      <c r="D76" s="2" t="s">
        <v>7</v>
      </c>
      <c r="E76" s="2">
        <v>114</v>
      </c>
      <c r="F76" s="2">
        <v>100</v>
      </c>
      <c r="G76" s="2">
        <v>100</v>
      </c>
    </row>
    <row r="77" spans="1:13" x14ac:dyDescent="0.35">
      <c r="A77" s="8"/>
      <c r="B77" s="2">
        <v>5</v>
      </c>
      <c r="C77" s="2">
        <v>0.8</v>
      </c>
      <c r="D77" s="2" t="s">
        <v>8</v>
      </c>
      <c r="E77" s="2">
        <v>266</v>
      </c>
      <c r="F77" s="2">
        <v>100</v>
      </c>
      <c r="G77" s="2">
        <v>100</v>
      </c>
    </row>
    <row r="78" spans="1:13" x14ac:dyDescent="0.35">
      <c r="A78" s="8"/>
      <c r="B78" s="2">
        <v>5</v>
      </c>
      <c r="C78" s="2">
        <v>0.8</v>
      </c>
      <c r="D78" s="2" t="s">
        <v>9</v>
      </c>
      <c r="E78" s="2">
        <v>570</v>
      </c>
      <c r="F78" s="2">
        <v>100</v>
      </c>
      <c r="G78" s="2">
        <v>100</v>
      </c>
    </row>
    <row r="79" spans="1:13" x14ac:dyDescent="0.35">
      <c r="A79" s="8"/>
      <c r="B79" s="2">
        <v>5</v>
      </c>
      <c r="C79" s="2">
        <v>0.8</v>
      </c>
      <c r="D79" s="2" t="s">
        <v>10</v>
      </c>
      <c r="E79" s="2">
        <v>950</v>
      </c>
      <c r="F79" s="2">
        <v>100</v>
      </c>
      <c r="G79" s="2">
        <v>100</v>
      </c>
    </row>
    <row r="80" spans="1:13" x14ac:dyDescent="0.35">
      <c r="A80" s="8"/>
      <c r="B80" s="2">
        <v>5</v>
      </c>
      <c r="C80" s="2">
        <v>0.8</v>
      </c>
      <c r="D80" s="2" t="s">
        <v>11</v>
      </c>
      <c r="E80" s="2">
        <v>1900</v>
      </c>
      <c r="F80" s="2">
        <v>100</v>
      </c>
      <c r="G80" s="2">
        <v>100</v>
      </c>
    </row>
  </sheetData>
  <mergeCells count="27">
    <mergeCell ref="A66:A70"/>
    <mergeCell ref="A71:A75"/>
    <mergeCell ref="A76:A80"/>
    <mergeCell ref="A34:A38"/>
    <mergeCell ref="A39:A43"/>
    <mergeCell ref="A44:A48"/>
    <mergeCell ref="A50:A54"/>
    <mergeCell ref="A55:A59"/>
    <mergeCell ref="A60:A64"/>
    <mergeCell ref="A28:A32"/>
    <mergeCell ref="H1:I1"/>
    <mergeCell ref="J1:K1"/>
    <mergeCell ref="H9:I9"/>
    <mergeCell ref="J9:K9"/>
    <mergeCell ref="H18:I18"/>
    <mergeCell ref="J18:K18"/>
    <mergeCell ref="A2:A6"/>
    <mergeCell ref="A7:A11"/>
    <mergeCell ref="A12:A16"/>
    <mergeCell ref="A18:A22"/>
    <mergeCell ref="A23:A27"/>
    <mergeCell ref="H35:I35"/>
    <mergeCell ref="J35:K35"/>
    <mergeCell ref="H50:I50"/>
    <mergeCell ref="J50:K50"/>
    <mergeCell ref="H67:I67"/>
    <mergeCell ref="J67:K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CF74-A2CE-4CBD-8779-8C5D457E8E92}">
  <dimension ref="A1:M80"/>
  <sheetViews>
    <sheetView topLeftCell="A13" workbookViewId="0">
      <selection activeCell="O15" sqref="O15"/>
    </sheetView>
  </sheetViews>
  <sheetFormatPr defaultRowHeight="14.5" x14ac:dyDescent="0.35"/>
  <cols>
    <col min="1" max="1" width="18.54296875" customWidth="1"/>
    <col min="2" max="2" width="16.26953125" style="1" customWidth="1"/>
    <col min="3" max="3" width="21.54296875" style="1" customWidth="1"/>
    <col min="4" max="5" width="18.54296875" style="1" customWidth="1"/>
    <col min="6" max="6" width="15.26953125" style="1" customWidth="1"/>
    <col min="7" max="7" width="13.08984375" style="1" customWidth="1"/>
  </cols>
  <sheetData>
    <row r="1" spans="1:13" x14ac:dyDescent="0.35">
      <c r="A1" t="s">
        <v>0</v>
      </c>
      <c r="B1" s="1" t="s">
        <v>2</v>
      </c>
      <c r="C1" s="1" t="s">
        <v>1</v>
      </c>
      <c r="D1" s="1" t="s">
        <v>5</v>
      </c>
      <c r="E1" s="1" t="s">
        <v>12</v>
      </c>
      <c r="F1" s="1" t="s">
        <v>3</v>
      </c>
      <c r="G1" s="1" t="s">
        <v>4</v>
      </c>
      <c r="H1" s="6" t="s">
        <v>3</v>
      </c>
      <c r="I1" s="6"/>
      <c r="J1" s="7" t="s">
        <v>4</v>
      </c>
      <c r="K1" s="7"/>
    </row>
    <row r="2" spans="1:13" x14ac:dyDescent="0.35">
      <c r="A2" s="8" t="s">
        <v>15</v>
      </c>
      <c r="B2" s="2">
        <v>1</v>
      </c>
      <c r="C2" s="2">
        <v>0.5</v>
      </c>
      <c r="D2" s="2" t="s">
        <v>7</v>
      </c>
      <c r="E2" s="2">
        <v>114</v>
      </c>
      <c r="F2" s="2">
        <v>100</v>
      </c>
      <c r="G2" s="2">
        <v>100</v>
      </c>
      <c r="H2" t="s">
        <v>21</v>
      </c>
      <c r="I2" t="s">
        <v>22</v>
      </c>
      <c r="J2" t="s">
        <v>21</v>
      </c>
      <c r="K2" t="s">
        <v>22</v>
      </c>
    </row>
    <row r="3" spans="1:13" x14ac:dyDescent="0.35">
      <c r="A3" s="8"/>
      <c r="B3" s="2">
        <v>1</v>
      </c>
      <c r="C3" s="2">
        <v>0.5</v>
      </c>
      <c r="D3" s="2" t="s">
        <v>8</v>
      </c>
      <c r="E3" s="2">
        <v>266</v>
      </c>
      <c r="F3" s="2">
        <v>100</v>
      </c>
      <c r="G3" s="2">
        <v>100</v>
      </c>
      <c r="H3" s="1">
        <f>AVERAGE(F2,F7,F12,F18,F23,F28,F34,F39,F44,F50,F55,F60,F66,F71,F76)</f>
        <v>100</v>
      </c>
      <c r="I3" s="1">
        <f>_xlfn.STDEV.S(F2,F7,F12,F18,F23,F28,F34,F39,F44,F50,F55,F60,F66,F71,F76)</f>
        <v>0</v>
      </c>
      <c r="J3" s="1">
        <f>AVERAGE(G2,G7,G12,G18,G23,G28,G34,G39,G44,G50,G55,G60,G66,G71,G76)</f>
        <v>86.666666666666671</v>
      </c>
      <c r="K3" s="1">
        <f>_xlfn.STDEV.S(G2,G7,G12,G18,G23,G28,G34,G39,G44,G50,G55,G60,G66,G71,G76)</f>
        <v>35.186577527449835</v>
      </c>
      <c r="L3" s="1" t="s">
        <v>7</v>
      </c>
    </row>
    <row r="4" spans="1:13" x14ac:dyDescent="0.35">
      <c r="A4" s="8"/>
      <c r="B4" s="2">
        <v>1</v>
      </c>
      <c r="C4" s="2">
        <v>0.5</v>
      </c>
      <c r="D4" s="2" t="s">
        <v>9</v>
      </c>
      <c r="E4" s="2">
        <v>570</v>
      </c>
      <c r="F4" s="2">
        <v>100</v>
      </c>
      <c r="G4" s="2">
        <v>100</v>
      </c>
      <c r="H4" s="1">
        <f>AVERAGE(F3,F8,F13,F19,F24,F29,F35,F40,F45,F51,F56,F61,F67,F72,F77)</f>
        <v>100</v>
      </c>
      <c r="I4" s="1">
        <f>_xlfn.STDEV.S(F3,F8,F13,F19,F24,F29,F35,F40,F45,F51,F56,F61,F67,F72,F77)</f>
        <v>0</v>
      </c>
      <c r="J4" s="1">
        <f>AVERAGE(G3,G8,G13,G19,G24,G29,G35,G40,G45,G51,G56,G61,G67,G72,G77)</f>
        <v>100</v>
      </c>
      <c r="K4" s="1">
        <f>_xlfn.STDEV.S(G3,G8,G13,G19,G24,G29,G35,G40,G45,G51,G56,G61,G67,G72,G77)</f>
        <v>0</v>
      </c>
      <c r="L4" s="1" t="s">
        <v>8</v>
      </c>
    </row>
    <row r="5" spans="1:13" x14ac:dyDescent="0.35">
      <c r="A5" s="8"/>
      <c r="B5" s="2">
        <v>1</v>
      </c>
      <c r="C5" s="2">
        <v>0.5</v>
      </c>
      <c r="D5" s="2" t="s">
        <v>10</v>
      </c>
      <c r="E5" s="2">
        <v>950</v>
      </c>
      <c r="F5" s="2">
        <v>100</v>
      </c>
      <c r="G5" s="2">
        <v>100</v>
      </c>
      <c r="H5" s="1">
        <f>AVERAGE(F4,F9,F14,F20,F25,F30,F36,F41,F46,F52,F57,F62,F68,F73,F78)</f>
        <v>100</v>
      </c>
      <c r="I5" s="1">
        <f>_xlfn.STDEV.S(F4,F9,F14,F20,F25,F30,F36,F41,F46,F52,F57,F62,F68,F73,F78)</f>
        <v>0</v>
      </c>
      <c r="J5" s="1">
        <f>AVERAGE(G4,G9,G14,G20,G25,G30,G36,G41,G46,G52,G57,G62,G68,G73,G78)</f>
        <v>100</v>
      </c>
      <c r="K5" s="1">
        <f>_xlfn.STDEV.S(G4,G9,G14,G20,G25,G30,G36,G41,G46,G52,G57,G62,G68,G73,G78)</f>
        <v>0</v>
      </c>
      <c r="L5" s="1" t="s">
        <v>9</v>
      </c>
    </row>
    <row r="6" spans="1:13" x14ac:dyDescent="0.35">
      <c r="A6" s="8"/>
      <c r="B6" s="2">
        <v>1</v>
      </c>
      <c r="C6" s="2">
        <v>0.5</v>
      </c>
      <c r="D6" s="2" t="s">
        <v>11</v>
      </c>
      <c r="E6" s="2">
        <v>1900</v>
      </c>
      <c r="F6" s="2">
        <v>100</v>
      </c>
      <c r="G6" s="2">
        <v>100</v>
      </c>
      <c r="H6" s="1">
        <f>AVERAGE(F5,F10,F15,F21,F26,F31,F37,F42,F47,F53,F58,F63,F69,F74,F79)</f>
        <v>100</v>
      </c>
      <c r="I6" s="1">
        <f>_xlfn.STDEV.S(F5,F10,F15,F21,F26,F31,F37,F42,F47,F53,F58,F63,F69,F74,F79)</f>
        <v>0</v>
      </c>
      <c r="J6" s="1">
        <f>AVERAGE(G5,G10,G15,G21,G26,G31,G37,G42,G47,G53,G58,G63,G69,G74,G79)</f>
        <v>100</v>
      </c>
      <c r="K6" s="1">
        <f>_xlfn.STDEV.S(G5,G10,G15,G21,G26,G31,G37,G42,G47,G53,G58,G63,G69,G74,G79)</f>
        <v>0</v>
      </c>
      <c r="L6" s="1" t="s">
        <v>10</v>
      </c>
    </row>
    <row r="7" spans="1:13" x14ac:dyDescent="0.35">
      <c r="A7" s="9" t="s">
        <v>15</v>
      </c>
      <c r="B7" s="3">
        <v>1</v>
      </c>
      <c r="C7" s="3">
        <v>0.65</v>
      </c>
      <c r="D7" s="3" t="s">
        <v>7</v>
      </c>
      <c r="E7" s="3">
        <v>114</v>
      </c>
      <c r="F7" s="3">
        <v>100</v>
      </c>
      <c r="G7" s="3">
        <v>100</v>
      </c>
      <c r="H7" s="1">
        <f>AVERAGE(F6,F11,F16,F22,F27,F32,F38,F43,F48,F54,F59,F64,F70,F75,F80)</f>
        <v>100</v>
      </c>
      <c r="I7" s="1">
        <f>_xlfn.STDEV.S(F6,F11,F16,F22,F27,F32,F38,F43,F48,F54,F59,F64,F70,F75,F80)</f>
        <v>0</v>
      </c>
      <c r="J7" s="1">
        <f>AVERAGE(G6,G11,G16,G22,G27,G32,G38,G43,G48,G54,G59,G64,G70,G75,G80)</f>
        <v>100</v>
      </c>
      <c r="K7" s="1">
        <f>_xlfn.STDEV.S(G6,G11,G16,G22,G27,G32,G38,G43,G48,G54,G59,G64,G70,G75,G80)</f>
        <v>0</v>
      </c>
      <c r="L7" s="1" t="s">
        <v>11</v>
      </c>
    </row>
    <row r="8" spans="1:13" x14ac:dyDescent="0.35">
      <c r="A8" s="9"/>
      <c r="B8" s="3">
        <v>1</v>
      </c>
      <c r="C8" s="3">
        <v>0.65</v>
      </c>
      <c r="D8" s="3" t="s">
        <v>8</v>
      </c>
      <c r="E8" s="3">
        <v>266</v>
      </c>
      <c r="F8" s="3">
        <v>100</v>
      </c>
      <c r="G8" s="3">
        <v>100</v>
      </c>
    </row>
    <row r="9" spans="1:13" x14ac:dyDescent="0.35">
      <c r="A9" s="9"/>
      <c r="B9" s="3">
        <v>1</v>
      </c>
      <c r="C9" s="3">
        <v>0.65</v>
      </c>
      <c r="D9" s="3" t="s">
        <v>9</v>
      </c>
      <c r="E9" s="3">
        <v>570</v>
      </c>
      <c r="F9" s="3">
        <v>100</v>
      </c>
      <c r="G9" s="3">
        <v>100</v>
      </c>
      <c r="H9" s="6" t="s">
        <v>3</v>
      </c>
      <c r="I9" s="6"/>
      <c r="J9" s="7" t="s">
        <v>4</v>
      </c>
      <c r="K9" s="7"/>
    </row>
    <row r="10" spans="1:13" x14ac:dyDescent="0.35">
      <c r="A10" s="9"/>
      <c r="B10" s="3">
        <v>1</v>
      </c>
      <c r="C10" s="3">
        <v>0.65</v>
      </c>
      <c r="D10" s="3" t="s">
        <v>10</v>
      </c>
      <c r="E10" s="3">
        <v>950</v>
      </c>
      <c r="F10" s="3">
        <v>100</v>
      </c>
      <c r="G10" s="3">
        <v>100</v>
      </c>
      <c r="H10" t="s">
        <v>21</v>
      </c>
      <c r="I10" t="s">
        <v>22</v>
      </c>
      <c r="J10" t="s">
        <v>21</v>
      </c>
      <c r="K10" t="s">
        <v>22</v>
      </c>
      <c r="L10" s="1" t="s">
        <v>20</v>
      </c>
    </row>
    <row r="11" spans="1:13" x14ac:dyDescent="0.35">
      <c r="A11" s="9"/>
      <c r="B11" s="3">
        <v>1</v>
      </c>
      <c r="C11" s="3">
        <v>0.65</v>
      </c>
      <c r="D11" s="3" t="s">
        <v>11</v>
      </c>
      <c r="E11" s="3">
        <v>1900</v>
      </c>
      <c r="F11" s="3">
        <v>100</v>
      </c>
      <c r="G11" s="3">
        <v>100</v>
      </c>
      <c r="H11">
        <f>AVERAGE(F2,F7,F12)</f>
        <v>100</v>
      </c>
      <c r="I11">
        <f>_xlfn.STDEV.S(F2,F7,F12)</f>
        <v>0</v>
      </c>
      <c r="J11">
        <f>AVERAGE(G2,G7,G12)</f>
        <v>100</v>
      </c>
      <c r="K11">
        <f>_xlfn.STDEV.S(G2,G7,G12)</f>
        <v>0</v>
      </c>
      <c r="L11" s="1">
        <v>1</v>
      </c>
      <c r="M11" s="1" t="s">
        <v>7</v>
      </c>
    </row>
    <row r="12" spans="1:13" x14ac:dyDescent="0.35">
      <c r="A12" s="8" t="s">
        <v>15</v>
      </c>
      <c r="B12" s="2">
        <v>1</v>
      </c>
      <c r="C12" s="2">
        <v>0.8</v>
      </c>
      <c r="D12" s="2" t="s">
        <v>7</v>
      </c>
      <c r="E12" s="2">
        <v>114</v>
      </c>
      <c r="F12" s="2">
        <v>100</v>
      </c>
      <c r="G12" s="2">
        <v>100</v>
      </c>
      <c r="H12">
        <f>AVERAGE(F3,F8,F13)</f>
        <v>100</v>
      </c>
      <c r="I12">
        <f>_xlfn.STDEV.S(F3,F8,F13)</f>
        <v>0</v>
      </c>
      <c r="J12">
        <f>AVERAGE(G3,G8,G13)</f>
        <v>100</v>
      </c>
      <c r="K12">
        <f>_xlfn.STDEV.S(G3,G8,G13)</f>
        <v>0</v>
      </c>
      <c r="L12" s="1">
        <v>1</v>
      </c>
      <c r="M12" s="1" t="s">
        <v>8</v>
      </c>
    </row>
    <row r="13" spans="1:13" x14ac:dyDescent="0.35">
      <c r="A13" s="8"/>
      <c r="B13" s="2">
        <v>1</v>
      </c>
      <c r="C13" s="2">
        <v>0.8</v>
      </c>
      <c r="D13" s="2" t="s">
        <v>8</v>
      </c>
      <c r="E13" s="2">
        <v>266</v>
      </c>
      <c r="F13" s="2">
        <v>100</v>
      </c>
      <c r="G13" s="2">
        <v>100</v>
      </c>
      <c r="H13">
        <f>AVERAGE(F4,F9,F14)</f>
        <v>100</v>
      </c>
      <c r="I13">
        <f>_xlfn.STDEV.S(F4,F9,F14)</f>
        <v>0</v>
      </c>
      <c r="J13">
        <f>AVERAGE(G4,G9,G14)</f>
        <v>100</v>
      </c>
      <c r="K13">
        <f>_xlfn.STDEV.S(G4,G9,G14)</f>
        <v>0</v>
      </c>
      <c r="L13" s="1">
        <v>1</v>
      </c>
      <c r="M13" s="1" t="s">
        <v>9</v>
      </c>
    </row>
    <row r="14" spans="1:13" x14ac:dyDescent="0.35">
      <c r="A14" s="8"/>
      <c r="B14" s="2">
        <v>1</v>
      </c>
      <c r="C14" s="2">
        <v>0.8</v>
      </c>
      <c r="D14" s="2" t="s">
        <v>9</v>
      </c>
      <c r="E14" s="2">
        <v>570</v>
      </c>
      <c r="F14" s="2">
        <v>100</v>
      </c>
      <c r="G14" s="2">
        <v>100</v>
      </c>
      <c r="H14">
        <f>AVERAGE(F5,F10,F15)</f>
        <v>100</v>
      </c>
      <c r="I14">
        <f>_xlfn.STDEV.S(F5,F10,F15)</f>
        <v>0</v>
      </c>
      <c r="J14">
        <f>AVERAGE(G5,G10,G15)</f>
        <v>100</v>
      </c>
      <c r="K14">
        <f>_xlfn.STDEV.S(G5,G10,G15)</f>
        <v>0</v>
      </c>
      <c r="L14" s="1">
        <v>1</v>
      </c>
      <c r="M14" s="1" t="s">
        <v>10</v>
      </c>
    </row>
    <row r="15" spans="1:13" x14ac:dyDescent="0.35">
      <c r="A15" s="8"/>
      <c r="B15" s="2">
        <v>1</v>
      </c>
      <c r="C15" s="2">
        <v>0.8</v>
      </c>
      <c r="D15" s="2" t="s">
        <v>10</v>
      </c>
      <c r="E15" s="2">
        <v>950</v>
      </c>
      <c r="F15" s="2">
        <v>100</v>
      </c>
      <c r="G15" s="2">
        <v>100</v>
      </c>
      <c r="H15">
        <f>AVERAGE(F6,F11,F16)</f>
        <v>100</v>
      </c>
      <c r="I15">
        <f>_xlfn.STDEV.S(F6,F11,F16)</f>
        <v>0</v>
      </c>
      <c r="J15">
        <f>AVERAGE(G6,G11,G16)</f>
        <v>100</v>
      </c>
      <c r="K15">
        <f>_xlfn.STDEV.S(G6,G11,G16)</f>
        <v>0</v>
      </c>
      <c r="L15" s="1">
        <v>1</v>
      </c>
      <c r="M15" s="1" t="s">
        <v>11</v>
      </c>
    </row>
    <row r="16" spans="1:13" x14ac:dyDescent="0.35">
      <c r="A16" s="8"/>
      <c r="B16" s="2">
        <v>1</v>
      </c>
      <c r="C16" s="2">
        <v>0.8</v>
      </c>
      <c r="D16" s="2" t="s">
        <v>11</v>
      </c>
      <c r="E16" s="2">
        <v>1900</v>
      </c>
      <c r="F16" s="2">
        <v>100</v>
      </c>
      <c r="G16" s="2">
        <v>100</v>
      </c>
    </row>
    <row r="17" spans="1:13" x14ac:dyDescent="0.35">
      <c r="A17" s="4"/>
      <c r="B17" s="4"/>
      <c r="C17" s="4"/>
      <c r="D17" s="4"/>
      <c r="E17" s="4"/>
      <c r="F17" s="4"/>
      <c r="G17" s="4"/>
    </row>
    <row r="18" spans="1:13" x14ac:dyDescent="0.35">
      <c r="A18" s="8" t="s">
        <v>15</v>
      </c>
      <c r="B18" s="2">
        <v>2</v>
      </c>
      <c r="C18" s="2">
        <v>0.5</v>
      </c>
      <c r="D18" s="2" t="s">
        <v>7</v>
      </c>
      <c r="E18" s="2">
        <v>114</v>
      </c>
      <c r="F18" s="2"/>
      <c r="G18" s="2">
        <v>0</v>
      </c>
      <c r="H18" s="6" t="s">
        <v>3</v>
      </c>
      <c r="I18" s="6"/>
      <c r="J18" s="7" t="s">
        <v>4</v>
      </c>
      <c r="K18" s="7"/>
    </row>
    <row r="19" spans="1:13" x14ac:dyDescent="0.35">
      <c r="A19" s="8"/>
      <c r="B19" s="2">
        <v>2</v>
      </c>
      <c r="C19" s="2">
        <v>0.5</v>
      </c>
      <c r="D19" s="2" t="s">
        <v>8</v>
      </c>
      <c r="E19" s="2">
        <v>266</v>
      </c>
      <c r="F19" s="2">
        <v>100</v>
      </c>
      <c r="G19" s="2">
        <v>100</v>
      </c>
      <c r="H19" t="s">
        <v>21</v>
      </c>
      <c r="I19" t="s">
        <v>22</v>
      </c>
      <c r="J19" t="s">
        <v>21</v>
      </c>
      <c r="K19" t="s">
        <v>22</v>
      </c>
      <c r="L19" s="1" t="s">
        <v>20</v>
      </c>
    </row>
    <row r="20" spans="1:13" x14ac:dyDescent="0.35">
      <c r="A20" s="8"/>
      <c r="B20" s="2">
        <v>2</v>
      </c>
      <c r="C20" s="2">
        <v>0.5</v>
      </c>
      <c r="D20" s="2" t="s">
        <v>9</v>
      </c>
      <c r="E20" s="2">
        <v>570</v>
      </c>
      <c r="F20" s="2">
        <v>100</v>
      </c>
      <c r="G20" s="2">
        <v>100</v>
      </c>
      <c r="H20">
        <f>AVERAGE(F18,F23,F28)</f>
        <v>100</v>
      </c>
      <c r="I20">
        <f>_xlfn.STDEV.S(F18,F23,F28)</f>
        <v>0</v>
      </c>
      <c r="J20">
        <f>AVERAGE(G18,G23,G28)</f>
        <v>66.666666666666671</v>
      </c>
      <c r="K20">
        <f>_xlfn.STDEV.S(G18,G23,G28)</f>
        <v>57.735026918962575</v>
      </c>
      <c r="L20" s="5">
        <v>2</v>
      </c>
      <c r="M20" s="1" t="s">
        <v>7</v>
      </c>
    </row>
    <row r="21" spans="1:13" x14ac:dyDescent="0.35">
      <c r="A21" s="8"/>
      <c r="B21" s="2">
        <v>2</v>
      </c>
      <c r="C21" s="2">
        <v>0.5</v>
      </c>
      <c r="D21" s="2" t="s">
        <v>10</v>
      </c>
      <c r="E21" s="2">
        <v>950</v>
      </c>
      <c r="F21" s="2">
        <v>100</v>
      </c>
      <c r="G21" s="2">
        <v>100</v>
      </c>
      <c r="H21">
        <f>AVERAGE(F19,F24,F29)</f>
        <v>100</v>
      </c>
      <c r="I21">
        <f>_xlfn.STDEV.S(F19,F24,F29)</f>
        <v>0</v>
      </c>
      <c r="J21">
        <f>AVERAGE(G19,G24,G29)</f>
        <v>100</v>
      </c>
      <c r="K21">
        <f>_xlfn.STDEV.S(G19,G24,G29)</f>
        <v>0</v>
      </c>
      <c r="L21" s="5">
        <v>2</v>
      </c>
      <c r="M21" s="1" t="s">
        <v>8</v>
      </c>
    </row>
    <row r="22" spans="1:13" x14ac:dyDescent="0.35">
      <c r="A22" s="8"/>
      <c r="B22" s="2">
        <v>2</v>
      </c>
      <c r="C22" s="2">
        <v>0.5</v>
      </c>
      <c r="D22" s="2" t="s">
        <v>11</v>
      </c>
      <c r="E22" s="2">
        <v>1900</v>
      </c>
      <c r="F22" s="2">
        <v>100</v>
      </c>
      <c r="G22" s="2">
        <v>100</v>
      </c>
      <c r="H22">
        <f>AVERAGE(F20,F25,F30)</f>
        <v>100</v>
      </c>
      <c r="I22">
        <f>_xlfn.STDEV.S(F20,F25,F30)</f>
        <v>0</v>
      </c>
      <c r="J22">
        <f>AVERAGE(G20,G25,G30)</f>
        <v>100</v>
      </c>
      <c r="K22">
        <f>_xlfn.STDEV.S(G20,G25,G30)</f>
        <v>0</v>
      </c>
      <c r="L22" s="5">
        <v>2</v>
      </c>
      <c r="M22" s="1" t="s">
        <v>9</v>
      </c>
    </row>
    <row r="23" spans="1:13" x14ac:dyDescent="0.35">
      <c r="A23" s="9" t="s">
        <v>15</v>
      </c>
      <c r="B23" s="3">
        <v>2</v>
      </c>
      <c r="C23" s="3">
        <v>0.65</v>
      </c>
      <c r="D23" s="3" t="s">
        <v>7</v>
      </c>
      <c r="E23" s="3">
        <v>114</v>
      </c>
      <c r="F23" s="3">
        <v>100</v>
      </c>
      <c r="G23" s="3">
        <v>100</v>
      </c>
      <c r="H23">
        <f>AVERAGE(F21,F26,F31)</f>
        <v>100</v>
      </c>
      <c r="I23">
        <f>_xlfn.STDEV.S(F21,F26,F31)</f>
        <v>0</v>
      </c>
      <c r="J23">
        <f>AVERAGE(G21,G26,G31)</f>
        <v>100</v>
      </c>
      <c r="K23">
        <f>_xlfn.STDEV.S(G21,G26,G31)</f>
        <v>0</v>
      </c>
      <c r="L23" s="5">
        <v>2</v>
      </c>
      <c r="M23" s="1" t="s">
        <v>10</v>
      </c>
    </row>
    <row r="24" spans="1:13" x14ac:dyDescent="0.35">
      <c r="A24" s="9"/>
      <c r="B24" s="3">
        <v>2</v>
      </c>
      <c r="C24" s="3">
        <v>0.65</v>
      </c>
      <c r="D24" s="3" t="s">
        <v>8</v>
      </c>
      <c r="E24" s="3">
        <v>266</v>
      </c>
      <c r="F24" s="3">
        <v>100</v>
      </c>
      <c r="G24" s="3">
        <v>100</v>
      </c>
      <c r="H24">
        <f>AVERAGE(F22,F27,F32)</f>
        <v>100</v>
      </c>
      <c r="I24">
        <f>_xlfn.STDEV.S(F22,F27,F32)</f>
        <v>0</v>
      </c>
      <c r="J24">
        <f>AVERAGE(G22,G27,G32)</f>
        <v>100</v>
      </c>
      <c r="K24">
        <f>_xlfn.STDEV.S(G22,G27,G32)</f>
        <v>0</v>
      </c>
      <c r="L24" s="5">
        <v>2</v>
      </c>
      <c r="M24" s="1" t="s">
        <v>11</v>
      </c>
    </row>
    <row r="25" spans="1:13" x14ac:dyDescent="0.35">
      <c r="A25" s="9"/>
      <c r="B25" s="3">
        <v>2</v>
      </c>
      <c r="C25" s="3">
        <v>0.65</v>
      </c>
      <c r="D25" s="3" t="s">
        <v>9</v>
      </c>
      <c r="E25" s="3">
        <v>570</v>
      </c>
      <c r="F25" s="3">
        <v>100</v>
      </c>
      <c r="G25" s="3">
        <v>100</v>
      </c>
    </row>
    <row r="26" spans="1:13" x14ac:dyDescent="0.35">
      <c r="A26" s="9"/>
      <c r="B26" s="3">
        <v>2</v>
      </c>
      <c r="C26" s="3">
        <v>0.65</v>
      </c>
      <c r="D26" s="3" t="s">
        <v>10</v>
      </c>
      <c r="E26" s="3">
        <v>950</v>
      </c>
      <c r="F26" s="3">
        <v>100</v>
      </c>
      <c r="G26" s="3">
        <v>100</v>
      </c>
    </row>
    <row r="27" spans="1:13" x14ac:dyDescent="0.35">
      <c r="A27" s="9"/>
      <c r="B27" s="3">
        <v>2</v>
      </c>
      <c r="C27" s="3">
        <v>0.65</v>
      </c>
      <c r="D27" s="3" t="s">
        <v>11</v>
      </c>
      <c r="E27" s="3">
        <v>1900</v>
      </c>
      <c r="F27" s="3">
        <v>100</v>
      </c>
      <c r="G27" s="3">
        <v>100</v>
      </c>
    </row>
    <row r="28" spans="1:13" x14ac:dyDescent="0.35">
      <c r="A28" s="8" t="s">
        <v>15</v>
      </c>
      <c r="B28" s="2">
        <v>2</v>
      </c>
      <c r="C28" s="2">
        <v>0.8</v>
      </c>
      <c r="D28" s="2" t="s">
        <v>7</v>
      </c>
      <c r="E28" s="2">
        <v>114</v>
      </c>
      <c r="F28" s="2">
        <v>100</v>
      </c>
      <c r="G28" s="2">
        <v>100</v>
      </c>
    </row>
    <row r="29" spans="1:13" x14ac:dyDescent="0.35">
      <c r="A29" s="8"/>
      <c r="B29" s="2">
        <v>2</v>
      </c>
      <c r="C29" s="2">
        <v>0.8</v>
      </c>
      <c r="D29" s="2" t="s">
        <v>8</v>
      </c>
      <c r="E29" s="2">
        <v>266</v>
      </c>
      <c r="F29" s="2">
        <v>100</v>
      </c>
      <c r="G29" s="2">
        <v>100</v>
      </c>
    </row>
    <row r="30" spans="1:13" x14ac:dyDescent="0.35">
      <c r="A30" s="8"/>
      <c r="B30" s="2">
        <v>2</v>
      </c>
      <c r="C30" s="2">
        <v>0.8</v>
      </c>
      <c r="D30" s="2" t="s">
        <v>9</v>
      </c>
      <c r="E30" s="2">
        <v>570</v>
      </c>
      <c r="F30" s="2">
        <v>100</v>
      </c>
      <c r="G30" s="2">
        <v>100</v>
      </c>
    </row>
    <row r="31" spans="1:13" x14ac:dyDescent="0.35">
      <c r="A31" s="8"/>
      <c r="B31" s="2">
        <v>2</v>
      </c>
      <c r="C31" s="2">
        <v>0.8</v>
      </c>
      <c r="D31" s="2" t="s">
        <v>10</v>
      </c>
      <c r="E31" s="2">
        <v>950</v>
      </c>
      <c r="F31" s="2">
        <v>100</v>
      </c>
      <c r="G31" s="2">
        <v>100</v>
      </c>
    </row>
    <row r="32" spans="1:13" x14ac:dyDescent="0.35">
      <c r="A32" s="8"/>
      <c r="B32" s="2">
        <v>2</v>
      </c>
      <c r="C32" s="2">
        <v>0.8</v>
      </c>
      <c r="D32" s="2" t="s">
        <v>11</v>
      </c>
      <c r="E32" s="2">
        <v>1900</v>
      </c>
      <c r="F32" s="2">
        <v>100</v>
      </c>
      <c r="G32" s="2">
        <v>100</v>
      </c>
    </row>
    <row r="33" spans="1:13" x14ac:dyDescent="0.35">
      <c r="A33" s="4"/>
      <c r="B33" s="4"/>
      <c r="C33" s="4"/>
      <c r="D33" s="4"/>
      <c r="E33" s="4"/>
      <c r="F33" s="4"/>
      <c r="G33" s="4"/>
    </row>
    <row r="34" spans="1:13" x14ac:dyDescent="0.35">
      <c r="A34" s="8" t="s">
        <v>15</v>
      </c>
      <c r="B34" s="2">
        <v>3</v>
      </c>
      <c r="C34" s="2">
        <v>0.5</v>
      </c>
      <c r="D34" s="2" t="s">
        <v>7</v>
      </c>
      <c r="E34" s="2">
        <v>114</v>
      </c>
      <c r="F34" s="2">
        <v>100</v>
      </c>
      <c r="G34" s="2">
        <v>100</v>
      </c>
    </row>
    <row r="35" spans="1:13" x14ac:dyDescent="0.35">
      <c r="A35" s="8"/>
      <c r="B35" s="2">
        <v>3</v>
      </c>
      <c r="C35" s="2">
        <v>0.5</v>
      </c>
      <c r="D35" s="2" t="s">
        <v>8</v>
      </c>
      <c r="E35" s="2">
        <v>266</v>
      </c>
      <c r="F35" s="2">
        <v>100</v>
      </c>
      <c r="G35" s="2">
        <v>100</v>
      </c>
      <c r="H35" s="6" t="s">
        <v>3</v>
      </c>
      <c r="I35" s="6"/>
      <c r="J35" s="7" t="s">
        <v>4</v>
      </c>
      <c r="K35" s="7"/>
    </row>
    <row r="36" spans="1:13" x14ac:dyDescent="0.35">
      <c r="A36" s="8"/>
      <c r="B36" s="2">
        <v>3</v>
      </c>
      <c r="C36" s="2">
        <v>0.5</v>
      </c>
      <c r="D36" s="2" t="s">
        <v>9</v>
      </c>
      <c r="E36" s="2">
        <v>570</v>
      </c>
      <c r="F36" s="2">
        <v>100</v>
      </c>
      <c r="G36" s="2">
        <v>100</v>
      </c>
      <c r="H36" t="s">
        <v>21</v>
      </c>
      <c r="I36" t="s">
        <v>22</v>
      </c>
      <c r="J36" t="s">
        <v>21</v>
      </c>
      <c r="K36" t="s">
        <v>22</v>
      </c>
      <c r="L36" s="1" t="s">
        <v>20</v>
      </c>
    </row>
    <row r="37" spans="1:13" x14ac:dyDescent="0.35">
      <c r="A37" s="8"/>
      <c r="B37" s="2">
        <v>3</v>
      </c>
      <c r="C37" s="2">
        <v>0.5</v>
      </c>
      <c r="D37" s="2" t="s">
        <v>10</v>
      </c>
      <c r="E37" s="2">
        <v>950</v>
      </c>
      <c r="F37" s="2">
        <v>100</v>
      </c>
      <c r="G37" s="2">
        <v>100</v>
      </c>
      <c r="H37">
        <f>AVERAGE(F34,F39,F44)</f>
        <v>100</v>
      </c>
      <c r="I37">
        <f>_xlfn.STDEV.S(F34,F39,F44)</f>
        <v>0</v>
      </c>
      <c r="J37">
        <f>AVERAGE(G34,G39,G44)</f>
        <v>100</v>
      </c>
      <c r="K37">
        <f>_xlfn.STDEV.S(G34,G39,G44)</f>
        <v>0</v>
      </c>
      <c r="L37" s="5">
        <v>3</v>
      </c>
      <c r="M37" s="1" t="s">
        <v>7</v>
      </c>
    </row>
    <row r="38" spans="1:13" x14ac:dyDescent="0.35">
      <c r="A38" s="8"/>
      <c r="B38" s="2">
        <v>3</v>
      </c>
      <c r="C38" s="2">
        <v>0.5</v>
      </c>
      <c r="D38" s="2" t="s">
        <v>11</v>
      </c>
      <c r="E38" s="2">
        <v>1900</v>
      </c>
      <c r="F38" s="2">
        <v>100</v>
      </c>
      <c r="G38" s="2">
        <v>100</v>
      </c>
      <c r="H38">
        <f>AVERAGE(F35,F40,F45)</f>
        <v>100</v>
      </c>
      <c r="I38">
        <f>_xlfn.STDEV.S(F35,F40,F45)</f>
        <v>0</v>
      </c>
      <c r="J38">
        <f>AVERAGE(G35,G40,G45)</f>
        <v>100</v>
      </c>
      <c r="K38">
        <f>_xlfn.STDEV.S(G35,G40,G45)</f>
        <v>0</v>
      </c>
      <c r="L38" s="5">
        <v>3</v>
      </c>
      <c r="M38" s="1" t="s">
        <v>8</v>
      </c>
    </row>
    <row r="39" spans="1:13" x14ac:dyDescent="0.35">
      <c r="A39" s="9" t="s">
        <v>15</v>
      </c>
      <c r="B39" s="3">
        <v>3</v>
      </c>
      <c r="C39" s="3">
        <v>0.65</v>
      </c>
      <c r="D39" s="3" t="s">
        <v>7</v>
      </c>
      <c r="E39" s="3">
        <v>114</v>
      </c>
      <c r="F39" s="3">
        <v>100</v>
      </c>
      <c r="G39" s="3">
        <v>100</v>
      </c>
      <c r="H39">
        <f>AVERAGE(F36,F41,F46)</f>
        <v>100</v>
      </c>
      <c r="I39">
        <f>_xlfn.STDEV.S(F36,F41,F46)</f>
        <v>0</v>
      </c>
      <c r="J39">
        <f>AVERAGE(G36,G41,G46)</f>
        <v>100</v>
      </c>
      <c r="K39">
        <f>_xlfn.STDEV.S(G36,G41,G46)</f>
        <v>0</v>
      </c>
      <c r="L39" s="5">
        <v>3</v>
      </c>
      <c r="M39" s="1" t="s">
        <v>9</v>
      </c>
    </row>
    <row r="40" spans="1:13" x14ac:dyDescent="0.35">
      <c r="A40" s="9"/>
      <c r="B40" s="3">
        <v>3</v>
      </c>
      <c r="C40" s="3">
        <v>0.65</v>
      </c>
      <c r="D40" s="3" t="s">
        <v>8</v>
      </c>
      <c r="E40" s="3">
        <v>266</v>
      </c>
      <c r="F40" s="3">
        <v>100</v>
      </c>
      <c r="G40" s="3">
        <v>100</v>
      </c>
      <c r="H40">
        <f>AVERAGE(F37,F42,F47)</f>
        <v>100</v>
      </c>
      <c r="I40">
        <f>_xlfn.STDEV.S(F37,F42,F47)</f>
        <v>0</v>
      </c>
      <c r="J40">
        <f>AVERAGE(G37,G42,G47)</f>
        <v>100</v>
      </c>
      <c r="K40">
        <f>_xlfn.STDEV.S(G37,G42,G47)</f>
        <v>0</v>
      </c>
      <c r="L40" s="5">
        <v>3</v>
      </c>
      <c r="M40" s="1" t="s">
        <v>10</v>
      </c>
    </row>
    <row r="41" spans="1:13" x14ac:dyDescent="0.35">
      <c r="A41" s="9"/>
      <c r="B41" s="3">
        <v>3</v>
      </c>
      <c r="C41" s="3">
        <v>0.65</v>
      </c>
      <c r="D41" s="3" t="s">
        <v>9</v>
      </c>
      <c r="E41" s="3">
        <v>570</v>
      </c>
      <c r="F41" s="3">
        <v>100</v>
      </c>
      <c r="G41" s="3">
        <v>100</v>
      </c>
      <c r="H41">
        <f>AVERAGE(F38,F43,F48)</f>
        <v>100</v>
      </c>
      <c r="I41">
        <f>_xlfn.STDEV.S(F38,F43,F48)</f>
        <v>0</v>
      </c>
      <c r="J41">
        <f>AVERAGE(G38,G43,G48)</f>
        <v>100</v>
      </c>
      <c r="K41">
        <f>_xlfn.STDEV.S(G38,G43,G48)</f>
        <v>0</v>
      </c>
      <c r="L41" s="5">
        <v>3</v>
      </c>
      <c r="M41" s="1" t="s">
        <v>11</v>
      </c>
    </row>
    <row r="42" spans="1:13" x14ac:dyDescent="0.35">
      <c r="A42" s="9"/>
      <c r="B42" s="3">
        <v>3</v>
      </c>
      <c r="C42" s="3">
        <v>0.65</v>
      </c>
      <c r="D42" s="3" t="s">
        <v>10</v>
      </c>
      <c r="E42" s="3">
        <v>950</v>
      </c>
      <c r="F42" s="3">
        <v>100</v>
      </c>
      <c r="G42" s="3">
        <v>100</v>
      </c>
    </row>
    <row r="43" spans="1:13" x14ac:dyDescent="0.35">
      <c r="A43" s="9"/>
      <c r="B43" s="3">
        <v>3</v>
      </c>
      <c r="C43" s="3">
        <v>0.65</v>
      </c>
      <c r="D43" s="3" t="s">
        <v>11</v>
      </c>
      <c r="E43" s="3">
        <v>1900</v>
      </c>
      <c r="F43" s="3">
        <v>100</v>
      </c>
      <c r="G43" s="3">
        <v>100</v>
      </c>
    </row>
    <row r="44" spans="1:13" x14ac:dyDescent="0.35">
      <c r="A44" s="8" t="s">
        <v>15</v>
      </c>
      <c r="B44" s="2">
        <v>3</v>
      </c>
      <c r="C44" s="2">
        <v>0.8</v>
      </c>
      <c r="D44" s="2" t="s">
        <v>7</v>
      </c>
      <c r="E44" s="2">
        <v>114</v>
      </c>
      <c r="F44" s="2">
        <v>100</v>
      </c>
      <c r="G44" s="2">
        <v>100</v>
      </c>
    </row>
    <row r="45" spans="1:13" x14ac:dyDescent="0.35">
      <c r="A45" s="8"/>
      <c r="B45" s="2">
        <v>3</v>
      </c>
      <c r="C45" s="2">
        <v>0.8</v>
      </c>
      <c r="D45" s="2" t="s">
        <v>8</v>
      </c>
      <c r="E45" s="2">
        <v>266</v>
      </c>
      <c r="F45" s="2">
        <v>100</v>
      </c>
      <c r="G45" s="2">
        <v>100</v>
      </c>
    </row>
    <row r="46" spans="1:13" x14ac:dyDescent="0.35">
      <c r="A46" s="8"/>
      <c r="B46" s="2">
        <v>3</v>
      </c>
      <c r="C46" s="2">
        <v>0.8</v>
      </c>
      <c r="D46" s="2" t="s">
        <v>9</v>
      </c>
      <c r="E46" s="2">
        <v>570</v>
      </c>
      <c r="F46" s="2">
        <v>100</v>
      </c>
      <c r="G46" s="2">
        <v>100</v>
      </c>
    </row>
    <row r="47" spans="1:13" x14ac:dyDescent="0.35">
      <c r="A47" s="8"/>
      <c r="B47" s="2">
        <v>3</v>
      </c>
      <c r="C47" s="2">
        <v>0.8</v>
      </c>
      <c r="D47" s="2" t="s">
        <v>10</v>
      </c>
      <c r="E47" s="2">
        <v>950</v>
      </c>
      <c r="F47" s="2">
        <v>100</v>
      </c>
      <c r="G47" s="2">
        <v>100</v>
      </c>
    </row>
    <row r="48" spans="1:13" x14ac:dyDescent="0.35">
      <c r="A48" s="8"/>
      <c r="B48" s="2">
        <v>3</v>
      </c>
      <c r="C48" s="2">
        <v>0.8</v>
      </c>
      <c r="D48" s="2" t="s">
        <v>11</v>
      </c>
      <c r="E48" s="2">
        <v>1900</v>
      </c>
      <c r="F48" s="2">
        <v>100</v>
      </c>
      <c r="G48" s="2">
        <v>100</v>
      </c>
    </row>
    <row r="49" spans="1:13" x14ac:dyDescent="0.35">
      <c r="A49" s="4"/>
      <c r="B49" s="4"/>
      <c r="C49" s="4"/>
      <c r="D49" s="4"/>
      <c r="E49" s="4"/>
      <c r="F49" s="4"/>
      <c r="G49" s="4"/>
    </row>
    <row r="50" spans="1:13" x14ac:dyDescent="0.35">
      <c r="A50" s="8" t="s">
        <v>15</v>
      </c>
      <c r="B50" s="2">
        <v>4</v>
      </c>
      <c r="C50" s="2">
        <v>0.5</v>
      </c>
      <c r="D50" s="2" t="s">
        <v>7</v>
      </c>
      <c r="E50" s="2">
        <v>114</v>
      </c>
      <c r="F50" s="2">
        <v>100</v>
      </c>
      <c r="G50" s="2">
        <v>100</v>
      </c>
      <c r="H50" s="6" t="s">
        <v>3</v>
      </c>
      <c r="I50" s="6"/>
      <c r="J50" s="7" t="s">
        <v>4</v>
      </c>
      <c r="K50" s="7"/>
    </row>
    <row r="51" spans="1:13" x14ac:dyDescent="0.35">
      <c r="A51" s="8"/>
      <c r="B51" s="2">
        <v>4</v>
      </c>
      <c r="C51" s="2">
        <v>0.5</v>
      </c>
      <c r="D51" s="2" t="s">
        <v>8</v>
      </c>
      <c r="E51" s="2">
        <v>266</v>
      </c>
      <c r="F51" s="2">
        <v>100</v>
      </c>
      <c r="G51" s="2">
        <v>100</v>
      </c>
      <c r="H51" t="s">
        <v>21</v>
      </c>
      <c r="I51" t="s">
        <v>22</v>
      </c>
      <c r="J51" t="s">
        <v>21</v>
      </c>
      <c r="K51" t="s">
        <v>22</v>
      </c>
      <c r="L51" s="1" t="s">
        <v>20</v>
      </c>
    </row>
    <row r="52" spans="1:13" x14ac:dyDescent="0.35">
      <c r="A52" s="8"/>
      <c r="B52" s="2">
        <v>4</v>
      </c>
      <c r="C52" s="2">
        <v>0.5</v>
      </c>
      <c r="D52" s="2" t="s">
        <v>9</v>
      </c>
      <c r="E52" s="2">
        <v>570</v>
      </c>
      <c r="F52" s="2">
        <v>100</v>
      </c>
      <c r="G52" s="2">
        <v>100</v>
      </c>
      <c r="H52">
        <f>AVERAGE(F50,F55,F60)</f>
        <v>100</v>
      </c>
      <c r="I52">
        <f>_xlfn.STDEV.S(F50,F55,F60)</f>
        <v>0</v>
      </c>
      <c r="J52">
        <f>AVERAGE(G50,G55,G60)</f>
        <v>66.666666666666671</v>
      </c>
      <c r="K52">
        <f>_xlfn.STDEV.S(G50,G55,G60)</f>
        <v>57.735026918962575</v>
      </c>
      <c r="L52" s="5">
        <v>4</v>
      </c>
      <c r="M52" s="1" t="s">
        <v>7</v>
      </c>
    </row>
    <row r="53" spans="1:13" x14ac:dyDescent="0.35">
      <c r="A53" s="8"/>
      <c r="B53" s="2">
        <v>4</v>
      </c>
      <c r="C53" s="2">
        <v>0.5</v>
      </c>
      <c r="D53" s="2" t="s">
        <v>10</v>
      </c>
      <c r="E53" s="2">
        <v>950</v>
      </c>
      <c r="F53" s="2">
        <v>100</v>
      </c>
      <c r="G53" s="2">
        <v>100</v>
      </c>
      <c r="H53">
        <f>AVERAGE(F51,F56,F61)</f>
        <v>100</v>
      </c>
      <c r="I53">
        <f>_xlfn.STDEV.S(F51,F56,F61)</f>
        <v>0</v>
      </c>
      <c r="J53">
        <f>AVERAGE(G51,G56,G61)</f>
        <v>100</v>
      </c>
      <c r="K53">
        <f>_xlfn.STDEV.S(G51,G56,G61)</f>
        <v>0</v>
      </c>
      <c r="L53" s="5">
        <v>4</v>
      </c>
      <c r="M53" s="1" t="s">
        <v>8</v>
      </c>
    </row>
    <row r="54" spans="1:13" x14ac:dyDescent="0.35">
      <c r="A54" s="8"/>
      <c r="B54" s="2">
        <v>4</v>
      </c>
      <c r="C54" s="2">
        <v>0.5</v>
      </c>
      <c r="D54" s="2" t="s">
        <v>11</v>
      </c>
      <c r="E54" s="2">
        <v>1900</v>
      </c>
      <c r="F54" s="2">
        <v>100</v>
      </c>
      <c r="G54" s="2">
        <v>100</v>
      </c>
      <c r="H54">
        <f>AVERAGE(F52,F57,F62)</f>
        <v>100</v>
      </c>
      <c r="I54">
        <f>_xlfn.STDEV.S(F52,F57,F62)</f>
        <v>0</v>
      </c>
      <c r="J54">
        <f>AVERAGE(G52,G57,G62)</f>
        <v>100</v>
      </c>
      <c r="K54">
        <f>_xlfn.STDEV.S(G52,G57,G62)</f>
        <v>0</v>
      </c>
      <c r="L54" s="5">
        <v>4</v>
      </c>
      <c r="M54" s="1" t="s">
        <v>9</v>
      </c>
    </row>
    <row r="55" spans="1:13" x14ac:dyDescent="0.35">
      <c r="A55" s="9" t="s">
        <v>15</v>
      </c>
      <c r="B55" s="3">
        <v>4</v>
      </c>
      <c r="C55" s="3">
        <v>0.65</v>
      </c>
      <c r="D55" s="3" t="s">
        <v>7</v>
      </c>
      <c r="E55" s="3">
        <v>114</v>
      </c>
      <c r="F55" s="3">
        <v>100</v>
      </c>
      <c r="G55" s="3">
        <v>100</v>
      </c>
      <c r="H55">
        <f>AVERAGE(F53,F58,F63)</f>
        <v>100</v>
      </c>
      <c r="I55">
        <f>_xlfn.STDEV.S(F53,F58,F63)</f>
        <v>0</v>
      </c>
      <c r="J55">
        <f>AVERAGE(G53,G58,G63)</f>
        <v>100</v>
      </c>
      <c r="K55">
        <f>_xlfn.STDEV.S(G53,G58,G63)</f>
        <v>0</v>
      </c>
      <c r="L55" s="5">
        <v>4</v>
      </c>
      <c r="M55" s="1" t="s">
        <v>10</v>
      </c>
    </row>
    <row r="56" spans="1:13" x14ac:dyDescent="0.35">
      <c r="A56" s="9"/>
      <c r="B56" s="3">
        <v>4</v>
      </c>
      <c r="C56" s="3">
        <v>0.65</v>
      </c>
      <c r="D56" s="3" t="s">
        <v>8</v>
      </c>
      <c r="E56" s="3">
        <v>266</v>
      </c>
      <c r="F56" s="3">
        <v>100</v>
      </c>
      <c r="G56" s="3">
        <v>100</v>
      </c>
      <c r="H56">
        <f>AVERAGE(F54,F59,F64)</f>
        <v>100</v>
      </c>
      <c r="I56">
        <f>_xlfn.STDEV.S(F54,F59,F64)</f>
        <v>0</v>
      </c>
      <c r="J56">
        <f>AVERAGE(G54,G59,G64)</f>
        <v>100</v>
      </c>
      <c r="K56">
        <f>_xlfn.STDEV.S(G54,G59,G64)</f>
        <v>0</v>
      </c>
      <c r="L56" s="5">
        <v>4</v>
      </c>
      <c r="M56" s="1" t="s">
        <v>11</v>
      </c>
    </row>
    <row r="57" spans="1:13" x14ac:dyDescent="0.35">
      <c r="A57" s="9"/>
      <c r="B57" s="3">
        <v>4</v>
      </c>
      <c r="C57" s="3">
        <v>0.65</v>
      </c>
      <c r="D57" s="3" t="s">
        <v>9</v>
      </c>
      <c r="E57" s="3">
        <v>570</v>
      </c>
      <c r="F57" s="3">
        <v>100</v>
      </c>
      <c r="G57" s="3">
        <v>100</v>
      </c>
    </row>
    <row r="58" spans="1:13" x14ac:dyDescent="0.35">
      <c r="A58" s="9"/>
      <c r="B58" s="3">
        <v>4</v>
      </c>
      <c r="C58" s="3">
        <v>0.65</v>
      </c>
      <c r="D58" s="3" t="s">
        <v>10</v>
      </c>
      <c r="E58" s="3">
        <v>950</v>
      </c>
      <c r="F58" s="3">
        <v>100</v>
      </c>
      <c r="G58" s="3">
        <v>100</v>
      </c>
    </row>
    <row r="59" spans="1:13" x14ac:dyDescent="0.35">
      <c r="A59" s="9"/>
      <c r="B59" s="3">
        <v>4</v>
      </c>
      <c r="C59" s="3">
        <v>0.65</v>
      </c>
      <c r="D59" s="3" t="s">
        <v>11</v>
      </c>
      <c r="E59" s="3">
        <v>1900</v>
      </c>
      <c r="F59" s="3">
        <v>100</v>
      </c>
      <c r="G59" s="3">
        <v>100</v>
      </c>
    </row>
    <row r="60" spans="1:13" x14ac:dyDescent="0.35">
      <c r="A60" s="8" t="s">
        <v>15</v>
      </c>
      <c r="B60" s="2">
        <v>4</v>
      </c>
      <c r="C60" s="2">
        <v>0.8</v>
      </c>
      <c r="D60" s="2" t="s">
        <v>7</v>
      </c>
      <c r="E60" s="2">
        <v>114</v>
      </c>
      <c r="F60" s="2"/>
      <c r="G60" s="2">
        <v>0</v>
      </c>
    </row>
    <row r="61" spans="1:13" x14ac:dyDescent="0.35">
      <c r="A61" s="8"/>
      <c r="B61" s="2">
        <v>4</v>
      </c>
      <c r="C61" s="2">
        <v>0.8</v>
      </c>
      <c r="D61" s="2" t="s">
        <v>8</v>
      </c>
      <c r="E61" s="2">
        <v>266</v>
      </c>
      <c r="F61" s="2">
        <v>100</v>
      </c>
      <c r="G61" s="2">
        <v>100</v>
      </c>
    </row>
    <row r="62" spans="1:13" x14ac:dyDescent="0.35">
      <c r="A62" s="8"/>
      <c r="B62" s="2">
        <v>4</v>
      </c>
      <c r="C62" s="2">
        <v>0.8</v>
      </c>
      <c r="D62" s="2" t="s">
        <v>9</v>
      </c>
      <c r="E62" s="2">
        <v>570</v>
      </c>
      <c r="F62" s="2">
        <v>100</v>
      </c>
      <c r="G62" s="2">
        <v>100</v>
      </c>
    </row>
    <row r="63" spans="1:13" x14ac:dyDescent="0.35">
      <c r="A63" s="8"/>
      <c r="B63" s="2">
        <v>4</v>
      </c>
      <c r="C63" s="2">
        <v>0.8</v>
      </c>
      <c r="D63" s="2" t="s">
        <v>10</v>
      </c>
      <c r="E63" s="2">
        <v>950</v>
      </c>
      <c r="F63" s="2">
        <v>100</v>
      </c>
      <c r="G63" s="2">
        <v>100</v>
      </c>
    </row>
    <row r="64" spans="1:13" x14ac:dyDescent="0.35">
      <c r="A64" s="8"/>
      <c r="B64" s="2">
        <v>4</v>
      </c>
      <c r="C64" s="2">
        <v>0.8</v>
      </c>
      <c r="D64" s="2" t="s">
        <v>11</v>
      </c>
      <c r="E64" s="2">
        <v>1900</v>
      </c>
      <c r="F64" s="2">
        <v>100</v>
      </c>
      <c r="G64" s="2">
        <v>100</v>
      </c>
    </row>
    <row r="65" spans="1:13" x14ac:dyDescent="0.35">
      <c r="A65" s="4"/>
      <c r="B65" s="4"/>
      <c r="C65" s="4"/>
      <c r="D65" s="4"/>
      <c r="E65" s="4"/>
      <c r="F65" s="4"/>
      <c r="G65" s="4"/>
    </row>
    <row r="66" spans="1:13" x14ac:dyDescent="0.35">
      <c r="A66" s="8" t="s">
        <v>15</v>
      </c>
      <c r="B66" s="2">
        <v>5</v>
      </c>
      <c r="C66" s="2">
        <v>0.5</v>
      </c>
      <c r="D66" s="2" t="s">
        <v>7</v>
      </c>
      <c r="E66" s="2">
        <v>114</v>
      </c>
      <c r="F66" s="2">
        <v>100</v>
      </c>
      <c r="G66" s="2">
        <v>100</v>
      </c>
    </row>
    <row r="67" spans="1:13" x14ac:dyDescent="0.35">
      <c r="A67" s="8"/>
      <c r="B67" s="2">
        <v>5</v>
      </c>
      <c r="C67" s="2">
        <v>0.5</v>
      </c>
      <c r="D67" s="2" t="s">
        <v>8</v>
      </c>
      <c r="E67" s="2">
        <v>266</v>
      </c>
      <c r="F67" s="2">
        <v>100</v>
      </c>
      <c r="G67" s="2">
        <v>100</v>
      </c>
      <c r="H67" s="6" t="s">
        <v>3</v>
      </c>
      <c r="I67" s="6"/>
      <c r="J67" s="7" t="s">
        <v>4</v>
      </c>
      <c r="K67" s="7"/>
    </row>
    <row r="68" spans="1:13" x14ac:dyDescent="0.35">
      <c r="A68" s="8"/>
      <c r="B68" s="2">
        <v>5</v>
      </c>
      <c r="C68" s="2">
        <v>0.5</v>
      </c>
      <c r="D68" s="2" t="s">
        <v>9</v>
      </c>
      <c r="E68" s="2">
        <v>570</v>
      </c>
      <c r="F68" s="2">
        <v>100</v>
      </c>
      <c r="G68" s="2">
        <v>100</v>
      </c>
      <c r="H68" t="s">
        <v>21</v>
      </c>
      <c r="I68" t="s">
        <v>22</v>
      </c>
      <c r="J68" t="s">
        <v>21</v>
      </c>
      <c r="K68" t="s">
        <v>22</v>
      </c>
      <c r="L68" s="1" t="s">
        <v>20</v>
      </c>
    </row>
    <row r="69" spans="1:13" x14ac:dyDescent="0.35">
      <c r="A69" s="8"/>
      <c r="B69" s="2">
        <v>5</v>
      </c>
      <c r="C69" s="2">
        <v>0.5</v>
      </c>
      <c r="D69" s="2" t="s">
        <v>10</v>
      </c>
      <c r="E69" s="2">
        <v>950</v>
      </c>
      <c r="F69" s="2">
        <v>100</v>
      </c>
      <c r="G69" s="2">
        <v>100</v>
      </c>
      <c r="H69">
        <f>AVERAGE(F66,F71,F76)</f>
        <v>100</v>
      </c>
      <c r="I69">
        <f>_xlfn.STDEV.S(F66,F71,F76)</f>
        <v>0</v>
      </c>
      <c r="J69">
        <f>AVERAGE(G66,G71,G76)</f>
        <v>100</v>
      </c>
      <c r="K69">
        <f>_xlfn.STDEV.S(G66,G71,G76)</f>
        <v>0</v>
      </c>
      <c r="L69" s="5">
        <v>5</v>
      </c>
      <c r="M69" s="1" t="s">
        <v>7</v>
      </c>
    </row>
    <row r="70" spans="1:13" x14ac:dyDescent="0.35">
      <c r="A70" s="8"/>
      <c r="B70" s="2">
        <v>5</v>
      </c>
      <c r="C70" s="2">
        <v>0.5</v>
      </c>
      <c r="D70" s="2" t="s">
        <v>11</v>
      </c>
      <c r="E70" s="2">
        <v>1900</v>
      </c>
      <c r="F70" s="2">
        <v>100</v>
      </c>
      <c r="G70" s="2">
        <v>100</v>
      </c>
      <c r="H70">
        <f>AVERAGE(F67,F72,F77)</f>
        <v>100</v>
      </c>
      <c r="I70">
        <f>_xlfn.STDEV.S(F67,F72,F77)</f>
        <v>0</v>
      </c>
      <c r="J70">
        <f>AVERAGE(G67,G72,G77)</f>
        <v>100</v>
      </c>
      <c r="K70">
        <f>_xlfn.STDEV.S(G67,G72,G77)</f>
        <v>0</v>
      </c>
      <c r="L70" s="5">
        <v>5</v>
      </c>
      <c r="M70" s="1" t="s">
        <v>8</v>
      </c>
    </row>
    <row r="71" spans="1:13" x14ac:dyDescent="0.35">
      <c r="A71" s="9" t="s">
        <v>15</v>
      </c>
      <c r="B71" s="3">
        <v>5</v>
      </c>
      <c r="C71" s="3">
        <v>0.65</v>
      </c>
      <c r="D71" s="3" t="s">
        <v>7</v>
      </c>
      <c r="E71" s="3">
        <v>114</v>
      </c>
      <c r="F71" s="3">
        <v>100</v>
      </c>
      <c r="G71" s="3">
        <v>100</v>
      </c>
      <c r="H71">
        <f>AVERAGE(F68,F73,F78)</f>
        <v>100</v>
      </c>
      <c r="I71">
        <f>_xlfn.STDEV.S(F68,F73,F78)</f>
        <v>0</v>
      </c>
      <c r="J71">
        <f>AVERAGE(G68,G73,G78)</f>
        <v>100</v>
      </c>
      <c r="K71">
        <f>_xlfn.STDEV.S(G68,G73,G78)</f>
        <v>0</v>
      </c>
      <c r="L71" s="5">
        <v>5</v>
      </c>
      <c r="M71" s="1" t="s">
        <v>9</v>
      </c>
    </row>
    <row r="72" spans="1:13" x14ac:dyDescent="0.35">
      <c r="A72" s="9"/>
      <c r="B72" s="3">
        <v>5</v>
      </c>
      <c r="C72" s="3">
        <v>0.65</v>
      </c>
      <c r="D72" s="3" t="s">
        <v>8</v>
      </c>
      <c r="E72" s="3">
        <v>266</v>
      </c>
      <c r="F72" s="3">
        <v>100</v>
      </c>
      <c r="G72" s="3">
        <v>100</v>
      </c>
      <c r="H72">
        <f>AVERAGE(F69,F74,F79)</f>
        <v>100</v>
      </c>
      <c r="I72">
        <f>_xlfn.STDEV.S(F69,F74,F79)</f>
        <v>0</v>
      </c>
      <c r="J72">
        <f>AVERAGE(G69,G74,G79)</f>
        <v>100</v>
      </c>
      <c r="K72">
        <f>_xlfn.STDEV.S(G69,G74,G79)</f>
        <v>0</v>
      </c>
      <c r="L72" s="5">
        <v>5</v>
      </c>
      <c r="M72" s="1" t="s">
        <v>10</v>
      </c>
    </row>
    <row r="73" spans="1:13" x14ac:dyDescent="0.35">
      <c r="A73" s="9"/>
      <c r="B73" s="3">
        <v>5</v>
      </c>
      <c r="C73" s="3">
        <v>0.65</v>
      </c>
      <c r="D73" s="3" t="s">
        <v>9</v>
      </c>
      <c r="E73" s="3">
        <v>570</v>
      </c>
      <c r="F73" s="3">
        <v>100</v>
      </c>
      <c r="G73" s="3">
        <v>100</v>
      </c>
      <c r="H73">
        <f>AVERAGE(F70,F75,F80)</f>
        <v>100</v>
      </c>
      <c r="I73">
        <f>_xlfn.STDEV.S(F70,F75,F80)</f>
        <v>0</v>
      </c>
      <c r="J73">
        <f>AVERAGE(G70,G75,G80)</f>
        <v>100</v>
      </c>
      <c r="K73">
        <f>_xlfn.STDEV.S(G70,G75,G80)</f>
        <v>0</v>
      </c>
      <c r="L73" s="5">
        <v>5</v>
      </c>
      <c r="M73" s="1" t="s">
        <v>11</v>
      </c>
    </row>
    <row r="74" spans="1:13" x14ac:dyDescent="0.35">
      <c r="A74" s="9"/>
      <c r="B74" s="3">
        <v>5</v>
      </c>
      <c r="C74" s="3">
        <v>0.65</v>
      </c>
      <c r="D74" s="3" t="s">
        <v>10</v>
      </c>
      <c r="E74" s="3">
        <v>950</v>
      </c>
      <c r="F74" s="3">
        <v>100</v>
      </c>
      <c r="G74" s="3">
        <v>100</v>
      </c>
    </row>
    <row r="75" spans="1:13" x14ac:dyDescent="0.35">
      <c r="A75" s="9"/>
      <c r="B75" s="3">
        <v>5</v>
      </c>
      <c r="C75" s="3">
        <v>0.65</v>
      </c>
      <c r="D75" s="3" t="s">
        <v>11</v>
      </c>
      <c r="E75" s="3">
        <v>1900</v>
      </c>
      <c r="F75" s="3">
        <v>100</v>
      </c>
      <c r="G75" s="3">
        <v>100</v>
      </c>
    </row>
    <row r="76" spans="1:13" x14ac:dyDescent="0.35">
      <c r="A76" s="8" t="s">
        <v>15</v>
      </c>
      <c r="B76" s="2">
        <v>5</v>
      </c>
      <c r="C76" s="2">
        <v>0.8</v>
      </c>
      <c r="D76" s="2" t="s">
        <v>7</v>
      </c>
      <c r="E76" s="2">
        <v>114</v>
      </c>
      <c r="F76" s="2">
        <v>100</v>
      </c>
      <c r="G76" s="2">
        <v>100</v>
      </c>
    </row>
    <row r="77" spans="1:13" x14ac:dyDescent="0.35">
      <c r="A77" s="8"/>
      <c r="B77" s="2">
        <v>5</v>
      </c>
      <c r="C77" s="2">
        <v>0.8</v>
      </c>
      <c r="D77" s="2" t="s">
        <v>8</v>
      </c>
      <c r="E77" s="2">
        <v>266</v>
      </c>
      <c r="F77" s="2">
        <v>100</v>
      </c>
      <c r="G77" s="2">
        <v>100</v>
      </c>
    </row>
    <row r="78" spans="1:13" x14ac:dyDescent="0.35">
      <c r="A78" s="8"/>
      <c r="B78" s="2">
        <v>5</v>
      </c>
      <c r="C78" s="2">
        <v>0.8</v>
      </c>
      <c r="D78" s="2" t="s">
        <v>9</v>
      </c>
      <c r="E78" s="2">
        <v>570</v>
      </c>
      <c r="F78" s="2">
        <v>100</v>
      </c>
      <c r="G78" s="2">
        <v>100</v>
      </c>
    </row>
    <row r="79" spans="1:13" x14ac:dyDescent="0.35">
      <c r="A79" s="8"/>
      <c r="B79" s="2">
        <v>5</v>
      </c>
      <c r="C79" s="2">
        <v>0.8</v>
      </c>
      <c r="D79" s="2" t="s">
        <v>10</v>
      </c>
      <c r="E79" s="2">
        <v>950</v>
      </c>
      <c r="F79" s="2">
        <v>100</v>
      </c>
      <c r="G79" s="2">
        <v>100</v>
      </c>
    </row>
    <row r="80" spans="1:13" x14ac:dyDescent="0.35">
      <c r="A80" s="8"/>
      <c r="B80" s="2">
        <v>5</v>
      </c>
      <c r="C80" s="2">
        <v>0.8</v>
      </c>
      <c r="D80" s="2" t="s">
        <v>11</v>
      </c>
      <c r="E80" s="2">
        <v>1900</v>
      </c>
      <c r="F80" s="2">
        <v>100</v>
      </c>
      <c r="G80" s="2">
        <v>100</v>
      </c>
    </row>
  </sheetData>
  <mergeCells count="27">
    <mergeCell ref="A66:A70"/>
    <mergeCell ref="A71:A75"/>
    <mergeCell ref="A76:A80"/>
    <mergeCell ref="A34:A38"/>
    <mergeCell ref="A39:A43"/>
    <mergeCell ref="A44:A48"/>
    <mergeCell ref="A50:A54"/>
    <mergeCell ref="A55:A59"/>
    <mergeCell ref="A60:A64"/>
    <mergeCell ref="A28:A32"/>
    <mergeCell ref="H1:I1"/>
    <mergeCell ref="J1:K1"/>
    <mergeCell ref="H9:I9"/>
    <mergeCell ref="J9:K9"/>
    <mergeCell ref="H18:I18"/>
    <mergeCell ref="J18:K18"/>
    <mergeCell ref="A2:A6"/>
    <mergeCell ref="A7:A11"/>
    <mergeCell ref="A12:A16"/>
    <mergeCell ref="A18:A22"/>
    <mergeCell ref="A23:A27"/>
    <mergeCell ref="H35:I35"/>
    <mergeCell ref="J35:K35"/>
    <mergeCell ref="H50:I50"/>
    <mergeCell ref="J50:K50"/>
    <mergeCell ref="H67:I67"/>
    <mergeCell ref="J67:K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DEBD-8FA7-42D0-9178-953B094E7924}">
  <dimension ref="A1:M80"/>
  <sheetViews>
    <sheetView topLeftCell="A49" workbookViewId="0">
      <selection activeCell="H68" sqref="H68:K68"/>
    </sheetView>
  </sheetViews>
  <sheetFormatPr defaultRowHeight="14.5" x14ac:dyDescent="0.35"/>
  <cols>
    <col min="1" max="1" width="18.54296875" customWidth="1"/>
    <col min="2" max="2" width="16.26953125" style="1" customWidth="1"/>
    <col min="3" max="3" width="21.54296875" style="1" customWidth="1"/>
    <col min="4" max="5" width="18.54296875" style="1" customWidth="1"/>
    <col min="6" max="6" width="15.26953125" style="1" customWidth="1"/>
    <col min="7" max="7" width="13.08984375" style="1" customWidth="1"/>
  </cols>
  <sheetData>
    <row r="1" spans="1:13" x14ac:dyDescent="0.35">
      <c r="A1" t="s">
        <v>0</v>
      </c>
      <c r="B1" s="1" t="s">
        <v>2</v>
      </c>
      <c r="C1" s="1" t="s">
        <v>1</v>
      </c>
      <c r="D1" s="1" t="s">
        <v>5</v>
      </c>
      <c r="E1" s="1" t="s">
        <v>12</v>
      </c>
      <c r="F1" s="1" t="s">
        <v>3</v>
      </c>
      <c r="G1" s="1" t="s">
        <v>4</v>
      </c>
      <c r="H1" s="6" t="s">
        <v>3</v>
      </c>
      <c r="I1" s="6"/>
      <c r="J1" s="7" t="s">
        <v>4</v>
      </c>
      <c r="K1" s="7"/>
    </row>
    <row r="2" spans="1:13" x14ac:dyDescent="0.35">
      <c r="A2" s="8" t="s">
        <v>14</v>
      </c>
      <c r="B2" s="2">
        <v>1</v>
      </c>
      <c r="C2" s="2">
        <v>0.5</v>
      </c>
      <c r="D2" s="2" t="s">
        <v>7</v>
      </c>
      <c r="E2" s="2">
        <v>114</v>
      </c>
      <c r="F2" s="2">
        <v>100</v>
      </c>
      <c r="G2" s="2">
        <v>100</v>
      </c>
      <c r="H2" t="s">
        <v>21</v>
      </c>
      <c r="I2" t="s">
        <v>22</v>
      </c>
      <c r="J2" t="s">
        <v>21</v>
      </c>
      <c r="K2" t="s">
        <v>22</v>
      </c>
    </row>
    <row r="3" spans="1:13" x14ac:dyDescent="0.35">
      <c r="A3" s="8"/>
      <c r="B3" s="2">
        <v>1</v>
      </c>
      <c r="C3" s="2">
        <v>0.5</v>
      </c>
      <c r="D3" s="2" t="s">
        <v>8</v>
      </c>
      <c r="E3" s="2">
        <v>266</v>
      </c>
      <c r="F3" s="2">
        <v>100</v>
      </c>
      <c r="G3" s="2">
        <v>100</v>
      </c>
      <c r="H3" s="1">
        <f>AVERAGE(F2,F7,F12,F18,F23,F28,F34,F39,F44,F50,F55,F60,F66,F71,F76)</f>
        <v>100</v>
      </c>
      <c r="I3" s="1">
        <f>_xlfn.STDEV.S(F2,F7,F12,F18,F23,F28,F34,F39,F44,F50,F55,F60,F66,F71,F76)</f>
        <v>0</v>
      </c>
      <c r="J3" s="1">
        <f>AVERAGE(G2,G7,G12,G18,G23,G28,G34,G39,G44,G50,G55,G60,G66,G71,G76)</f>
        <v>80</v>
      </c>
      <c r="K3" s="1">
        <f>_xlfn.STDEV.S(G2,G7,G12,G18,G23,G28,G34,G39,G44,G50,G55,G60,G66,G71,G76)</f>
        <v>41.403933560541255</v>
      </c>
      <c r="L3" s="1" t="s">
        <v>7</v>
      </c>
    </row>
    <row r="4" spans="1:13" x14ac:dyDescent="0.35">
      <c r="A4" s="8"/>
      <c r="B4" s="2">
        <v>1</v>
      </c>
      <c r="C4" s="2">
        <v>0.5</v>
      </c>
      <c r="D4" s="2" t="s">
        <v>9</v>
      </c>
      <c r="E4" s="2">
        <v>570</v>
      </c>
      <c r="F4" s="2">
        <v>100</v>
      </c>
      <c r="G4" s="2">
        <v>100</v>
      </c>
      <c r="H4" s="1">
        <f>AVERAGE(F3,F8,F13,F19,F24,F29,F35,F40,F45,F51,F56,F61,F67,F72,F77)</f>
        <v>100</v>
      </c>
      <c r="I4" s="1">
        <f>_xlfn.STDEV.S(F3,F8,F13,F19,F24,F29,F35,F40,F45,F51,F56,F61,F67,F72,F77)</f>
        <v>0</v>
      </c>
      <c r="J4" s="1">
        <f>AVERAGE(G3,G8,G13,G19,G24,G29,G35,G40,G45,G51,G56,G61,G67,G72,G77)</f>
        <v>100</v>
      </c>
      <c r="K4" s="1">
        <f>_xlfn.STDEV.S(G3,G8,G13,G19,G24,G29,G35,G40,G45,G51,G56,G61,G67,G72,G77)</f>
        <v>0</v>
      </c>
      <c r="L4" s="1" t="s">
        <v>8</v>
      </c>
    </row>
    <row r="5" spans="1:13" x14ac:dyDescent="0.35">
      <c r="A5" s="8"/>
      <c r="B5" s="2">
        <v>1</v>
      </c>
      <c r="C5" s="2">
        <v>0.5</v>
      </c>
      <c r="D5" s="2" t="s">
        <v>10</v>
      </c>
      <c r="E5" s="2">
        <v>950</v>
      </c>
      <c r="F5" s="2">
        <v>100</v>
      </c>
      <c r="G5" s="2">
        <v>100</v>
      </c>
      <c r="H5" s="1">
        <f>AVERAGE(F4,F9,F14,F20,F25,F30,F36,F41,F46,F52,F57,F62,F68,F73,F78)</f>
        <v>100</v>
      </c>
      <c r="I5" s="1">
        <f>_xlfn.STDEV.S(F4,F9,F14,F20,F25,F30,F36,F41,F46,F52,F57,F62,F68,F73,F78)</f>
        <v>0</v>
      </c>
      <c r="J5" s="1">
        <f>AVERAGE(G4,G9,G14,G20,G25,G30,G36,G41,G46,G52,G57,G62,G68,G73,G78)</f>
        <v>100</v>
      </c>
      <c r="K5" s="1">
        <f>_xlfn.STDEV.S(G4,G9,G14,G20,G25,G30,G36,G41,G46,G52,G57,G62,G68,G73,G78)</f>
        <v>0</v>
      </c>
      <c r="L5" s="1" t="s">
        <v>9</v>
      </c>
    </row>
    <row r="6" spans="1:13" x14ac:dyDescent="0.35">
      <c r="A6" s="8"/>
      <c r="B6" s="2">
        <v>1</v>
      </c>
      <c r="C6" s="2">
        <v>0.5</v>
      </c>
      <c r="D6" s="2" t="s">
        <v>11</v>
      </c>
      <c r="E6" s="2">
        <v>1900</v>
      </c>
      <c r="F6" s="2">
        <v>100</v>
      </c>
      <c r="G6" s="2">
        <v>100</v>
      </c>
      <c r="H6" s="1">
        <f>AVERAGE(F5,F10,F15,F21,F26,F31,F37,F42,F47,F53,F58,F63,F69,F74,F79)</f>
        <v>100</v>
      </c>
      <c r="I6" s="1">
        <f>_xlfn.STDEV.S(F5,F10,F15,F21,F26,F31,F37,F42,F47,F53,F58,F63,F69,F74,F79)</f>
        <v>0</v>
      </c>
      <c r="J6" s="1">
        <f>AVERAGE(G5,G10,G15,G21,G26,G31,G37,G42,G47,G53,G58,G63,G69,G74,G79)</f>
        <v>100</v>
      </c>
      <c r="K6" s="1">
        <f>_xlfn.STDEV.S(G5,G10,G15,G21,G26,G31,G37,G42,G47,G53,G58,G63,G69,G74,G79)</f>
        <v>0</v>
      </c>
      <c r="L6" s="1" t="s">
        <v>10</v>
      </c>
    </row>
    <row r="7" spans="1:13" x14ac:dyDescent="0.35">
      <c r="A7" s="9" t="s">
        <v>14</v>
      </c>
      <c r="B7" s="3">
        <v>1</v>
      </c>
      <c r="C7" s="3">
        <v>0.65</v>
      </c>
      <c r="D7" s="3" t="s">
        <v>7</v>
      </c>
      <c r="E7" s="3">
        <v>114</v>
      </c>
      <c r="F7" s="3">
        <v>100</v>
      </c>
      <c r="G7" s="3">
        <v>100</v>
      </c>
      <c r="H7" s="1">
        <f>AVERAGE(F6,F11,F16,F22,F27,F32,F38,F43,F48,F54,F59,F64,F70,F75,F80)</f>
        <v>100</v>
      </c>
      <c r="I7" s="1">
        <f>_xlfn.STDEV.S(F6,F11,F16,F22,F27,F32,F38,F43,F48,F54,F59,F64,F70,F75,F80)</f>
        <v>0</v>
      </c>
      <c r="J7" s="1">
        <f>AVERAGE(G6,G11,G16,G22,G27,G32,G38,G43,G48,G54,G59,G64,G70,G75,G80)</f>
        <v>100</v>
      </c>
      <c r="K7" s="1">
        <f>_xlfn.STDEV.S(G6,G11,G16,G22,G27,G32,G38,G43,G48,G54,G59,G64,G70,G75,G80)</f>
        <v>0</v>
      </c>
      <c r="L7" s="1" t="s">
        <v>11</v>
      </c>
    </row>
    <row r="8" spans="1:13" x14ac:dyDescent="0.35">
      <c r="A8" s="9"/>
      <c r="B8" s="3">
        <v>1</v>
      </c>
      <c r="C8" s="3">
        <v>0.65</v>
      </c>
      <c r="D8" s="3" t="s">
        <v>8</v>
      </c>
      <c r="E8" s="3">
        <v>266</v>
      </c>
      <c r="F8" s="3">
        <v>100</v>
      </c>
      <c r="G8" s="3">
        <v>100</v>
      </c>
    </row>
    <row r="9" spans="1:13" x14ac:dyDescent="0.35">
      <c r="A9" s="9"/>
      <c r="B9" s="3">
        <v>1</v>
      </c>
      <c r="C9" s="3">
        <v>0.65</v>
      </c>
      <c r="D9" s="3" t="s">
        <v>9</v>
      </c>
      <c r="E9" s="3">
        <v>570</v>
      </c>
      <c r="F9" s="3">
        <v>100</v>
      </c>
      <c r="G9" s="3">
        <v>100</v>
      </c>
      <c r="H9" s="6" t="s">
        <v>3</v>
      </c>
      <c r="I9" s="6"/>
      <c r="J9" s="7" t="s">
        <v>4</v>
      </c>
      <c r="K9" s="7"/>
    </row>
    <row r="10" spans="1:13" x14ac:dyDescent="0.35">
      <c r="A10" s="9"/>
      <c r="B10" s="3">
        <v>1</v>
      </c>
      <c r="C10" s="3">
        <v>0.65</v>
      </c>
      <c r="D10" s="3" t="s">
        <v>10</v>
      </c>
      <c r="E10" s="3">
        <v>950</v>
      </c>
      <c r="F10" s="3">
        <v>100</v>
      </c>
      <c r="G10" s="3">
        <v>100</v>
      </c>
      <c r="H10" t="s">
        <v>21</v>
      </c>
      <c r="I10" t="s">
        <v>22</v>
      </c>
      <c r="J10" t="s">
        <v>21</v>
      </c>
      <c r="K10" t="s">
        <v>22</v>
      </c>
      <c r="L10" s="1" t="s">
        <v>20</v>
      </c>
    </row>
    <row r="11" spans="1:13" x14ac:dyDescent="0.35">
      <c r="A11" s="9"/>
      <c r="B11" s="3">
        <v>1</v>
      </c>
      <c r="C11" s="3">
        <v>0.65</v>
      </c>
      <c r="D11" s="3" t="s">
        <v>11</v>
      </c>
      <c r="E11" s="3">
        <v>1900</v>
      </c>
      <c r="F11" s="3">
        <v>100</v>
      </c>
      <c r="G11" s="3">
        <v>100</v>
      </c>
      <c r="H11">
        <f>AVERAGE(F2,F7,F12)</f>
        <v>100</v>
      </c>
      <c r="I11">
        <f>_xlfn.STDEV.S(F2,F7,F12)</f>
        <v>0</v>
      </c>
      <c r="J11">
        <f>AVERAGE(G2,G7,G12)</f>
        <v>100</v>
      </c>
      <c r="K11">
        <f>_xlfn.STDEV.S(G2,G7,G12)</f>
        <v>0</v>
      </c>
      <c r="L11" s="1">
        <v>1</v>
      </c>
      <c r="M11" s="1" t="s">
        <v>7</v>
      </c>
    </row>
    <row r="12" spans="1:13" x14ac:dyDescent="0.35">
      <c r="A12" s="8" t="s">
        <v>14</v>
      </c>
      <c r="B12" s="2">
        <v>1</v>
      </c>
      <c r="C12" s="2">
        <v>0.8</v>
      </c>
      <c r="D12" s="2" t="s">
        <v>7</v>
      </c>
      <c r="E12" s="2">
        <v>114</v>
      </c>
      <c r="F12" s="2">
        <v>100</v>
      </c>
      <c r="G12" s="2">
        <v>100</v>
      </c>
      <c r="H12">
        <f>AVERAGE(F3,F8,F13)</f>
        <v>100</v>
      </c>
      <c r="I12">
        <f>_xlfn.STDEV.S(F3,F8,F13)</f>
        <v>0</v>
      </c>
      <c r="J12">
        <f>AVERAGE(G3,G8,G13)</f>
        <v>100</v>
      </c>
      <c r="K12">
        <f>_xlfn.STDEV.S(G3,G8,G13)</f>
        <v>0</v>
      </c>
      <c r="L12" s="1">
        <v>1</v>
      </c>
      <c r="M12" s="1" t="s">
        <v>8</v>
      </c>
    </row>
    <row r="13" spans="1:13" x14ac:dyDescent="0.35">
      <c r="A13" s="8"/>
      <c r="B13" s="2">
        <v>1</v>
      </c>
      <c r="C13" s="2">
        <v>0.8</v>
      </c>
      <c r="D13" s="2" t="s">
        <v>8</v>
      </c>
      <c r="E13" s="2">
        <v>266</v>
      </c>
      <c r="F13" s="2">
        <v>100</v>
      </c>
      <c r="G13" s="2">
        <v>100</v>
      </c>
      <c r="H13">
        <f>AVERAGE(F4,F9,F14)</f>
        <v>100</v>
      </c>
      <c r="I13">
        <f>_xlfn.STDEV.S(F4,F9,F14)</f>
        <v>0</v>
      </c>
      <c r="J13">
        <f>AVERAGE(G4,G9,G14)</f>
        <v>100</v>
      </c>
      <c r="K13">
        <f>_xlfn.STDEV.S(G4,G9,G14)</f>
        <v>0</v>
      </c>
      <c r="L13" s="1">
        <v>1</v>
      </c>
      <c r="M13" s="1" t="s">
        <v>9</v>
      </c>
    </row>
    <row r="14" spans="1:13" x14ac:dyDescent="0.35">
      <c r="A14" s="8"/>
      <c r="B14" s="2">
        <v>1</v>
      </c>
      <c r="C14" s="2">
        <v>0.8</v>
      </c>
      <c r="D14" s="2" t="s">
        <v>9</v>
      </c>
      <c r="E14" s="2">
        <v>570</v>
      </c>
      <c r="F14" s="2">
        <v>100</v>
      </c>
      <c r="G14" s="2">
        <v>100</v>
      </c>
      <c r="H14">
        <f>AVERAGE(F5,F10,F15)</f>
        <v>100</v>
      </c>
      <c r="I14">
        <f>_xlfn.STDEV.S(F5,F10,F15)</f>
        <v>0</v>
      </c>
      <c r="J14">
        <f>AVERAGE(G5,G10,G15)</f>
        <v>100</v>
      </c>
      <c r="K14">
        <f>_xlfn.STDEV.S(G5,G10,G15)</f>
        <v>0</v>
      </c>
      <c r="L14" s="1">
        <v>1</v>
      </c>
      <c r="M14" s="1" t="s">
        <v>10</v>
      </c>
    </row>
    <row r="15" spans="1:13" x14ac:dyDescent="0.35">
      <c r="A15" s="8"/>
      <c r="B15" s="2">
        <v>1</v>
      </c>
      <c r="C15" s="2">
        <v>0.8</v>
      </c>
      <c r="D15" s="2" t="s">
        <v>10</v>
      </c>
      <c r="E15" s="2">
        <v>950</v>
      </c>
      <c r="F15" s="2">
        <v>100</v>
      </c>
      <c r="G15" s="2">
        <v>100</v>
      </c>
      <c r="H15">
        <f>AVERAGE(F6,F11,F16)</f>
        <v>100</v>
      </c>
      <c r="I15">
        <f>_xlfn.STDEV.S(F6,F11,F16)</f>
        <v>0</v>
      </c>
      <c r="J15">
        <f>AVERAGE(G6,G11,G16)</f>
        <v>100</v>
      </c>
      <c r="K15">
        <f>_xlfn.STDEV.S(G6,G11,G16)</f>
        <v>0</v>
      </c>
      <c r="L15" s="1">
        <v>1</v>
      </c>
      <c r="M15" s="1" t="s">
        <v>11</v>
      </c>
    </row>
    <row r="16" spans="1:13" x14ac:dyDescent="0.35">
      <c r="A16" s="8"/>
      <c r="B16" s="2">
        <v>1</v>
      </c>
      <c r="C16" s="2">
        <v>0.8</v>
      </c>
      <c r="D16" s="2" t="s">
        <v>11</v>
      </c>
      <c r="E16" s="2">
        <v>1900</v>
      </c>
      <c r="F16" s="2">
        <v>100</v>
      </c>
      <c r="G16" s="2">
        <v>100</v>
      </c>
    </row>
    <row r="17" spans="1:13" x14ac:dyDescent="0.35">
      <c r="A17" s="4"/>
      <c r="B17" s="4"/>
      <c r="C17" s="4"/>
      <c r="D17" s="4"/>
      <c r="E17" s="4"/>
      <c r="F17" s="4"/>
      <c r="G17" s="4"/>
    </row>
    <row r="18" spans="1:13" x14ac:dyDescent="0.35">
      <c r="A18" s="8" t="s">
        <v>14</v>
      </c>
      <c r="B18" s="2">
        <v>2</v>
      </c>
      <c r="C18" s="2">
        <v>0.5</v>
      </c>
      <c r="D18" s="2" t="s">
        <v>7</v>
      </c>
      <c r="E18" s="2">
        <v>114</v>
      </c>
      <c r="F18" s="2"/>
      <c r="G18" s="2">
        <v>0</v>
      </c>
      <c r="H18" s="6" t="s">
        <v>3</v>
      </c>
      <c r="I18" s="6"/>
      <c r="J18" s="7" t="s">
        <v>4</v>
      </c>
      <c r="K18" s="7"/>
    </row>
    <row r="19" spans="1:13" x14ac:dyDescent="0.35">
      <c r="A19" s="8"/>
      <c r="B19" s="2">
        <v>2</v>
      </c>
      <c r="C19" s="2">
        <v>0.5</v>
      </c>
      <c r="D19" s="2" t="s">
        <v>8</v>
      </c>
      <c r="E19" s="2">
        <v>266</v>
      </c>
      <c r="F19" s="2">
        <v>100</v>
      </c>
      <c r="G19" s="2">
        <v>100</v>
      </c>
      <c r="H19" t="s">
        <v>21</v>
      </c>
      <c r="I19" t="s">
        <v>22</v>
      </c>
      <c r="J19" t="s">
        <v>21</v>
      </c>
      <c r="K19" t="s">
        <v>22</v>
      </c>
      <c r="L19" s="1" t="s">
        <v>20</v>
      </c>
    </row>
    <row r="20" spans="1:13" x14ac:dyDescent="0.35">
      <c r="A20" s="8"/>
      <c r="B20" s="2">
        <v>2</v>
      </c>
      <c r="C20" s="2">
        <v>0.5</v>
      </c>
      <c r="D20" s="2" t="s">
        <v>9</v>
      </c>
      <c r="E20" s="2">
        <v>570</v>
      </c>
      <c r="F20" s="2">
        <v>100</v>
      </c>
      <c r="G20" s="2">
        <v>100</v>
      </c>
      <c r="H20">
        <f>AVERAGE(F18,F23,F28)</f>
        <v>100</v>
      </c>
      <c r="I20">
        <f>_xlfn.STDEV.S(F18,F23,F28)</f>
        <v>0</v>
      </c>
      <c r="J20">
        <f>AVERAGE(G18,G23,G28)</f>
        <v>66.666666666666671</v>
      </c>
      <c r="K20">
        <f>_xlfn.STDEV.S(G18,G23,G28)</f>
        <v>57.735026918962575</v>
      </c>
      <c r="L20" s="5">
        <v>2</v>
      </c>
      <c r="M20" s="1" t="s">
        <v>7</v>
      </c>
    </row>
    <row r="21" spans="1:13" x14ac:dyDescent="0.35">
      <c r="A21" s="8"/>
      <c r="B21" s="2">
        <v>2</v>
      </c>
      <c r="C21" s="2">
        <v>0.5</v>
      </c>
      <c r="D21" s="2" t="s">
        <v>10</v>
      </c>
      <c r="E21" s="2">
        <v>950</v>
      </c>
      <c r="F21" s="2">
        <v>100</v>
      </c>
      <c r="G21" s="2">
        <v>100</v>
      </c>
      <c r="H21">
        <f>AVERAGE(F19,F24,F29)</f>
        <v>100</v>
      </c>
      <c r="I21">
        <f>_xlfn.STDEV.S(F19,F24,F29)</f>
        <v>0</v>
      </c>
      <c r="J21">
        <f>AVERAGE(G19,G24,G29)</f>
        <v>100</v>
      </c>
      <c r="K21">
        <f>_xlfn.STDEV.S(G19,G24,G29)</f>
        <v>0</v>
      </c>
      <c r="L21" s="5">
        <v>2</v>
      </c>
      <c r="M21" s="1" t="s">
        <v>8</v>
      </c>
    </row>
    <row r="22" spans="1:13" x14ac:dyDescent="0.35">
      <c r="A22" s="8"/>
      <c r="B22" s="2">
        <v>2</v>
      </c>
      <c r="C22" s="2">
        <v>0.5</v>
      </c>
      <c r="D22" s="2" t="s">
        <v>11</v>
      </c>
      <c r="E22" s="2">
        <v>1900</v>
      </c>
      <c r="F22" s="2">
        <v>100</v>
      </c>
      <c r="G22" s="2">
        <v>100</v>
      </c>
      <c r="H22">
        <f>AVERAGE(F20,F25,F30)</f>
        <v>100</v>
      </c>
      <c r="I22">
        <f>_xlfn.STDEV.S(F20,F25,F30)</f>
        <v>0</v>
      </c>
      <c r="J22">
        <f>AVERAGE(G20,G25,G30)</f>
        <v>100</v>
      </c>
      <c r="K22">
        <f>_xlfn.STDEV.S(G20,G25,G30)</f>
        <v>0</v>
      </c>
      <c r="L22" s="5">
        <v>2</v>
      </c>
      <c r="M22" s="1" t="s">
        <v>9</v>
      </c>
    </row>
    <row r="23" spans="1:13" x14ac:dyDescent="0.35">
      <c r="A23" s="9" t="s">
        <v>14</v>
      </c>
      <c r="B23" s="3">
        <v>2</v>
      </c>
      <c r="C23" s="3">
        <v>0.65</v>
      </c>
      <c r="D23" s="3" t="s">
        <v>7</v>
      </c>
      <c r="E23" s="3">
        <v>114</v>
      </c>
      <c r="F23" s="3">
        <v>100</v>
      </c>
      <c r="G23" s="3">
        <v>100</v>
      </c>
      <c r="H23">
        <f>AVERAGE(F21,F26,F31)</f>
        <v>100</v>
      </c>
      <c r="I23">
        <f>_xlfn.STDEV.S(F21,F26,F31)</f>
        <v>0</v>
      </c>
      <c r="J23">
        <f>AVERAGE(G21,G26,G31)</f>
        <v>100</v>
      </c>
      <c r="K23">
        <f>_xlfn.STDEV.S(G21,G26,G31)</f>
        <v>0</v>
      </c>
      <c r="L23" s="5">
        <v>2</v>
      </c>
      <c r="M23" s="1" t="s">
        <v>10</v>
      </c>
    </row>
    <row r="24" spans="1:13" x14ac:dyDescent="0.35">
      <c r="A24" s="9"/>
      <c r="B24" s="3">
        <v>2</v>
      </c>
      <c r="C24" s="3">
        <v>0.65</v>
      </c>
      <c r="D24" s="3" t="s">
        <v>8</v>
      </c>
      <c r="E24" s="3">
        <v>266</v>
      </c>
      <c r="F24" s="3">
        <v>100</v>
      </c>
      <c r="G24" s="3">
        <v>100</v>
      </c>
      <c r="H24">
        <f>AVERAGE(F22,F27,F32)</f>
        <v>100</v>
      </c>
      <c r="I24">
        <f>_xlfn.STDEV.S(F22,F27,F32)</f>
        <v>0</v>
      </c>
      <c r="J24">
        <f>AVERAGE(G22,G27,G32)</f>
        <v>100</v>
      </c>
      <c r="K24">
        <f>_xlfn.STDEV.S(G22,G27,G32)</f>
        <v>0</v>
      </c>
      <c r="L24" s="5">
        <v>2</v>
      </c>
      <c r="M24" s="1" t="s">
        <v>11</v>
      </c>
    </row>
    <row r="25" spans="1:13" x14ac:dyDescent="0.35">
      <c r="A25" s="9"/>
      <c r="B25" s="3">
        <v>2</v>
      </c>
      <c r="C25" s="3">
        <v>0.65</v>
      </c>
      <c r="D25" s="3" t="s">
        <v>9</v>
      </c>
      <c r="E25" s="3">
        <v>570</v>
      </c>
      <c r="F25" s="3">
        <v>100</v>
      </c>
      <c r="G25" s="3">
        <v>100</v>
      </c>
    </row>
    <row r="26" spans="1:13" x14ac:dyDescent="0.35">
      <c r="A26" s="9"/>
      <c r="B26" s="3">
        <v>2</v>
      </c>
      <c r="C26" s="3">
        <v>0.65</v>
      </c>
      <c r="D26" s="3" t="s">
        <v>10</v>
      </c>
      <c r="E26" s="3">
        <v>950</v>
      </c>
      <c r="F26" s="3">
        <v>100</v>
      </c>
      <c r="G26" s="3">
        <v>100</v>
      </c>
    </row>
    <row r="27" spans="1:13" x14ac:dyDescent="0.35">
      <c r="A27" s="9"/>
      <c r="B27" s="3">
        <v>2</v>
      </c>
      <c r="C27" s="3">
        <v>0.65</v>
      </c>
      <c r="D27" s="3" t="s">
        <v>11</v>
      </c>
      <c r="E27" s="3">
        <v>1900</v>
      </c>
      <c r="F27" s="3">
        <v>100</v>
      </c>
      <c r="G27" s="3">
        <v>100</v>
      </c>
    </row>
    <row r="28" spans="1:13" x14ac:dyDescent="0.35">
      <c r="A28" s="8" t="s">
        <v>14</v>
      </c>
      <c r="B28" s="2">
        <v>2</v>
      </c>
      <c r="C28" s="2">
        <v>0.8</v>
      </c>
      <c r="D28" s="2" t="s">
        <v>7</v>
      </c>
      <c r="E28" s="2">
        <v>114</v>
      </c>
      <c r="F28" s="2">
        <v>100</v>
      </c>
      <c r="G28" s="2">
        <v>100</v>
      </c>
    </row>
    <row r="29" spans="1:13" x14ac:dyDescent="0.35">
      <c r="A29" s="8"/>
      <c r="B29" s="2">
        <v>2</v>
      </c>
      <c r="C29" s="2">
        <v>0.8</v>
      </c>
      <c r="D29" s="2" t="s">
        <v>8</v>
      </c>
      <c r="E29" s="2">
        <v>266</v>
      </c>
      <c r="F29" s="2">
        <v>100</v>
      </c>
      <c r="G29" s="2">
        <v>100</v>
      </c>
    </row>
    <row r="30" spans="1:13" x14ac:dyDescent="0.35">
      <c r="A30" s="8"/>
      <c r="B30" s="2">
        <v>2</v>
      </c>
      <c r="C30" s="2">
        <v>0.8</v>
      </c>
      <c r="D30" s="2" t="s">
        <v>9</v>
      </c>
      <c r="E30" s="2">
        <v>570</v>
      </c>
      <c r="F30" s="2">
        <v>100</v>
      </c>
      <c r="G30" s="2">
        <v>100</v>
      </c>
    </row>
    <row r="31" spans="1:13" x14ac:dyDescent="0.35">
      <c r="A31" s="8"/>
      <c r="B31" s="2">
        <v>2</v>
      </c>
      <c r="C31" s="2">
        <v>0.8</v>
      </c>
      <c r="D31" s="2" t="s">
        <v>10</v>
      </c>
      <c r="E31" s="2">
        <v>950</v>
      </c>
      <c r="F31" s="2">
        <v>100</v>
      </c>
      <c r="G31" s="2">
        <v>100</v>
      </c>
    </row>
    <row r="32" spans="1:13" x14ac:dyDescent="0.35">
      <c r="A32" s="8"/>
      <c r="B32" s="2">
        <v>2</v>
      </c>
      <c r="C32" s="2">
        <v>0.8</v>
      </c>
      <c r="D32" s="2" t="s">
        <v>11</v>
      </c>
      <c r="E32" s="2">
        <v>1900</v>
      </c>
      <c r="F32" s="2">
        <v>100</v>
      </c>
      <c r="G32" s="2">
        <v>100</v>
      </c>
    </row>
    <row r="33" spans="1:13" x14ac:dyDescent="0.35">
      <c r="A33" s="4"/>
      <c r="B33" s="4"/>
      <c r="C33" s="4"/>
      <c r="D33" s="4"/>
      <c r="E33" s="4"/>
      <c r="F33" s="4"/>
      <c r="G33" s="4"/>
    </row>
    <row r="34" spans="1:13" x14ac:dyDescent="0.35">
      <c r="A34" s="8" t="s">
        <v>14</v>
      </c>
      <c r="B34" s="2">
        <v>3</v>
      </c>
      <c r="C34" s="2">
        <v>0.5</v>
      </c>
      <c r="D34" s="2" t="s">
        <v>7</v>
      </c>
      <c r="E34" s="2">
        <v>114</v>
      </c>
      <c r="F34" s="2"/>
      <c r="G34" s="2">
        <v>0</v>
      </c>
    </row>
    <row r="35" spans="1:13" x14ac:dyDescent="0.35">
      <c r="A35" s="8"/>
      <c r="B35" s="2">
        <v>3</v>
      </c>
      <c r="C35" s="2">
        <v>0.5</v>
      </c>
      <c r="D35" s="2" t="s">
        <v>8</v>
      </c>
      <c r="E35" s="2">
        <v>266</v>
      </c>
      <c r="F35" s="2">
        <v>100</v>
      </c>
      <c r="G35" s="2">
        <v>100</v>
      </c>
      <c r="H35" s="6" t="s">
        <v>3</v>
      </c>
      <c r="I35" s="6"/>
      <c r="J35" s="7" t="s">
        <v>4</v>
      </c>
      <c r="K35" s="7"/>
    </row>
    <row r="36" spans="1:13" x14ac:dyDescent="0.35">
      <c r="A36" s="8"/>
      <c r="B36" s="2">
        <v>3</v>
      </c>
      <c r="C36" s="2">
        <v>0.5</v>
      </c>
      <c r="D36" s="2" t="s">
        <v>9</v>
      </c>
      <c r="E36" s="2">
        <v>570</v>
      </c>
      <c r="F36" s="2">
        <v>100</v>
      </c>
      <c r="G36" s="2">
        <v>100</v>
      </c>
      <c r="H36" t="s">
        <v>21</v>
      </c>
      <c r="I36" t="s">
        <v>22</v>
      </c>
      <c r="J36" t="s">
        <v>21</v>
      </c>
      <c r="K36" t="s">
        <v>22</v>
      </c>
      <c r="L36" s="1" t="s">
        <v>20</v>
      </c>
    </row>
    <row r="37" spans="1:13" x14ac:dyDescent="0.35">
      <c r="A37" s="8"/>
      <c r="B37" s="2">
        <v>3</v>
      </c>
      <c r="C37" s="2">
        <v>0.5</v>
      </c>
      <c r="D37" s="2" t="s">
        <v>10</v>
      </c>
      <c r="E37" s="2">
        <v>950</v>
      </c>
      <c r="F37" s="2">
        <v>100</v>
      </c>
      <c r="G37" s="2">
        <v>100</v>
      </c>
      <c r="H37">
        <f>AVERAGE(F34,F39,F44)</f>
        <v>100</v>
      </c>
      <c r="I37">
        <f>_xlfn.STDEV.S(F34,F39,F44)</f>
        <v>0</v>
      </c>
      <c r="J37">
        <f>AVERAGE(G34,G39,G44)</f>
        <v>66.666666666666671</v>
      </c>
      <c r="K37">
        <f>_xlfn.STDEV.S(G34,G39,G44)</f>
        <v>57.735026918962575</v>
      </c>
      <c r="L37" s="5">
        <v>3</v>
      </c>
      <c r="M37" s="1" t="s">
        <v>7</v>
      </c>
    </row>
    <row r="38" spans="1:13" x14ac:dyDescent="0.35">
      <c r="A38" s="8"/>
      <c r="B38" s="2">
        <v>3</v>
      </c>
      <c r="C38" s="2">
        <v>0.5</v>
      </c>
      <c r="D38" s="2" t="s">
        <v>11</v>
      </c>
      <c r="E38" s="2">
        <v>1900</v>
      </c>
      <c r="F38" s="2">
        <v>100</v>
      </c>
      <c r="G38" s="2">
        <v>100</v>
      </c>
      <c r="H38">
        <f>AVERAGE(F35,F40,F45)</f>
        <v>100</v>
      </c>
      <c r="I38">
        <f>_xlfn.STDEV.S(F35,F40,F45)</f>
        <v>0</v>
      </c>
      <c r="J38">
        <f>AVERAGE(G35,G40,G45)</f>
        <v>100</v>
      </c>
      <c r="K38">
        <f>_xlfn.STDEV.S(G35,G40,G45)</f>
        <v>0</v>
      </c>
      <c r="L38" s="5">
        <v>3</v>
      </c>
      <c r="M38" s="1" t="s">
        <v>8</v>
      </c>
    </row>
    <row r="39" spans="1:13" x14ac:dyDescent="0.35">
      <c r="A39" s="9" t="s">
        <v>14</v>
      </c>
      <c r="B39" s="3">
        <v>3</v>
      </c>
      <c r="C39" s="3">
        <v>0.65</v>
      </c>
      <c r="D39" s="3" t="s">
        <v>7</v>
      </c>
      <c r="E39" s="3">
        <v>114</v>
      </c>
      <c r="F39" s="3">
        <v>100</v>
      </c>
      <c r="G39" s="3">
        <v>100</v>
      </c>
      <c r="H39">
        <f>AVERAGE(F36,F41,F46)</f>
        <v>100</v>
      </c>
      <c r="I39">
        <f>_xlfn.STDEV.S(F36,F41,F46)</f>
        <v>0</v>
      </c>
      <c r="J39">
        <f>AVERAGE(G36,G41,G46)</f>
        <v>100</v>
      </c>
      <c r="K39">
        <f>_xlfn.STDEV.S(G36,G41,G46)</f>
        <v>0</v>
      </c>
      <c r="L39" s="5">
        <v>3</v>
      </c>
      <c r="M39" s="1" t="s">
        <v>9</v>
      </c>
    </row>
    <row r="40" spans="1:13" x14ac:dyDescent="0.35">
      <c r="A40" s="9"/>
      <c r="B40" s="3">
        <v>3</v>
      </c>
      <c r="C40" s="3">
        <v>0.65</v>
      </c>
      <c r="D40" s="3" t="s">
        <v>8</v>
      </c>
      <c r="E40" s="3">
        <v>266</v>
      </c>
      <c r="F40" s="3">
        <v>100</v>
      </c>
      <c r="G40" s="3">
        <v>100</v>
      </c>
      <c r="H40">
        <f>AVERAGE(F37,F42,F47)</f>
        <v>100</v>
      </c>
      <c r="I40">
        <f>_xlfn.STDEV.S(F37,F42,F47)</f>
        <v>0</v>
      </c>
      <c r="J40">
        <f>AVERAGE(G37,G42,G47)</f>
        <v>100</v>
      </c>
      <c r="K40">
        <f>_xlfn.STDEV.S(G37,G42,G47)</f>
        <v>0</v>
      </c>
      <c r="L40" s="5">
        <v>3</v>
      </c>
      <c r="M40" s="1" t="s">
        <v>10</v>
      </c>
    </row>
    <row r="41" spans="1:13" x14ac:dyDescent="0.35">
      <c r="A41" s="9"/>
      <c r="B41" s="3">
        <v>3</v>
      </c>
      <c r="C41" s="3">
        <v>0.65</v>
      </c>
      <c r="D41" s="3" t="s">
        <v>9</v>
      </c>
      <c r="E41" s="3">
        <v>570</v>
      </c>
      <c r="F41" s="3">
        <v>100</v>
      </c>
      <c r="G41" s="3">
        <v>100</v>
      </c>
      <c r="H41">
        <f>AVERAGE(F38,F43,F48)</f>
        <v>100</v>
      </c>
      <c r="I41">
        <f>_xlfn.STDEV.S(F38,F43,F48)</f>
        <v>0</v>
      </c>
      <c r="J41">
        <f>AVERAGE(G38,G43,G48)</f>
        <v>100</v>
      </c>
      <c r="K41">
        <f>_xlfn.STDEV.S(G38,G43,G48)</f>
        <v>0</v>
      </c>
      <c r="L41" s="5">
        <v>3</v>
      </c>
      <c r="M41" s="1" t="s">
        <v>11</v>
      </c>
    </row>
    <row r="42" spans="1:13" x14ac:dyDescent="0.35">
      <c r="A42" s="9"/>
      <c r="B42" s="3">
        <v>3</v>
      </c>
      <c r="C42" s="3">
        <v>0.65</v>
      </c>
      <c r="D42" s="3" t="s">
        <v>10</v>
      </c>
      <c r="E42" s="3">
        <v>950</v>
      </c>
      <c r="F42" s="3">
        <v>100</v>
      </c>
      <c r="G42" s="3">
        <v>100</v>
      </c>
    </row>
    <row r="43" spans="1:13" x14ac:dyDescent="0.35">
      <c r="A43" s="9"/>
      <c r="B43" s="3">
        <v>3</v>
      </c>
      <c r="C43" s="3">
        <v>0.65</v>
      </c>
      <c r="D43" s="3" t="s">
        <v>11</v>
      </c>
      <c r="E43" s="3">
        <v>1900</v>
      </c>
      <c r="F43" s="3">
        <v>100</v>
      </c>
      <c r="G43" s="3">
        <v>100</v>
      </c>
    </row>
    <row r="44" spans="1:13" x14ac:dyDescent="0.35">
      <c r="A44" s="8" t="s">
        <v>14</v>
      </c>
      <c r="B44" s="2">
        <v>3</v>
      </c>
      <c r="C44" s="2">
        <v>0.8</v>
      </c>
      <c r="D44" s="2" t="s">
        <v>7</v>
      </c>
      <c r="E44" s="2">
        <v>114</v>
      </c>
      <c r="F44" s="2">
        <v>100</v>
      </c>
      <c r="G44" s="2">
        <v>100</v>
      </c>
    </row>
    <row r="45" spans="1:13" x14ac:dyDescent="0.35">
      <c r="A45" s="8"/>
      <c r="B45" s="2">
        <v>3</v>
      </c>
      <c r="C45" s="2">
        <v>0.8</v>
      </c>
      <c r="D45" s="2" t="s">
        <v>8</v>
      </c>
      <c r="E45" s="2">
        <v>266</v>
      </c>
      <c r="F45" s="2">
        <v>100</v>
      </c>
      <c r="G45" s="2">
        <v>100</v>
      </c>
    </row>
    <row r="46" spans="1:13" x14ac:dyDescent="0.35">
      <c r="A46" s="8"/>
      <c r="B46" s="2">
        <v>3</v>
      </c>
      <c r="C46" s="2">
        <v>0.8</v>
      </c>
      <c r="D46" s="2" t="s">
        <v>9</v>
      </c>
      <c r="E46" s="2">
        <v>570</v>
      </c>
      <c r="F46" s="2">
        <v>100</v>
      </c>
      <c r="G46" s="2">
        <v>100</v>
      </c>
    </row>
    <row r="47" spans="1:13" x14ac:dyDescent="0.35">
      <c r="A47" s="8"/>
      <c r="B47" s="2">
        <v>3</v>
      </c>
      <c r="C47" s="2">
        <v>0.8</v>
      </c>
      <c r="D47" s="2" t="s">
        <v>10</v>
      </c>
      <c r="E47" s="2">
        <v>950</v>
      </c>
      <c r="F47" s="2">
        <v>100</v>
      </c>
      <c r="G47" s="2">
        <v>100</v>
      </c>
    </row>
    <row r="48" spans="1:13" x14ac:dyDescent="0.35">
      <c r="A48" s="8"/>
      <c r="B48" s="2">
        <v>3</v>
      </c>
      <c r="C48" s="2">
        <v>0.8</v>
      </c>
      <c r="D48" s="2" t="s">
        <v>11</v>
      </c>
      <c r="E48" s="2">
        <v>1900</v>
      </c>
      <c r="F48" s="2">
        <v>100</v>
      </c>
      <c r="G48" s="2">
        <v>100</v>
      </c>
    </row>
    <row r="49" spans="1:13" x14ac:dyDescent="0.35">
      <c r="A49" s="4"/>
      <c r="B49" s="4"/>
      <c r="C49" s="4"/>
      <c r="D49" s="4"/>
      <c r="E49" s="4"/>
      <c r="F49" s="4"/>
      <c r="G49" s="4"/>
    </row>
    <row r="50" spans="1:13" x14ac:dyDescent="0.35">
      <c r="A50" s="8" t="s">
        <v>14</v>
      </c>
      <c r="B50" s="2">
        <v>4</v>
      </c>
      <c r="C50" s="2">
        <v>0.5</v>
      </c>
      <c r="D50" s="2" t="s">
        <v>7</v>
      </c>
      <c r="E50" s="2">
        <v>114</v>
      </c>
      <c r="F50" s="2"/>
      <c r="G50" s="2">
        <v>0</v>
      </c>
      <c r="H50" s="6" t="s">
        <v>3</v>
      </c>
      <c r="I50" s="6"/>
      <c r="J50" s="7" t="s">
        <v>4</v>
      </c>
      <c r="K50" s="7"/>
    </row>
    <row r="51" spans="1:13" x14ac:dyDescent="0.35">
      <c r="A51" s="8"/>
      <c r="B51" s="2">
        <v>4</v>
      </c>
      <c r="C51" s="2">
        <v>0.5</v>
      </c>
      <c r="D51" s="2" t="s">
        <v>8</v>
      </c>
      <c r="E51" s="2">
        <v>266</v>
      </c>
      <c r="F51" s="2">
        <v>100</v>
      </c>
      <c r="G51" s="2">
        <v>100</v>
      </c>
      <c r="H51" t="s">
        <v>21</v>
      </c>
      <c r="I51" t="s">
        <v>22</v>
      </c>
      <c r="J51" t="s">
        <v>21</v>
      </c>
      <c r="K51" t="s">
        <v>22</v>
      </c>
      <c r="L51" s="1" t="s">
        <v>20</v>
      </c>
    </row>
    <row r="52" spans="1:13" x14ac:dyDescent="0.35">
      <c r="A52" s="8"/>
      <c r="B52" s="2">
        <v>4</v>
      </c>
      <c r="C52" s="2">
        <v>0.5</v>
      </c>
      <c r="D52" s="2" t="s">
        <v>9</v>
      </c>
      <c r="E52" s="2">
        <v>570</v>
      </c>
      <c r="F52" s="2">
        <v>100</v>
      </c>
      <c r="G52" s="2">
        <v>100</v>
      </c>
      <c r="H52">
        <f>AVERAGE(F50,F55,F60)</f>
        <v>100</v>
      </c>
      <c r="I52">
        <f>_xlfn.STDEV.S(F50,F55,F60)</f>
        <v>0</v>
      </c>
      <c r="J52">
        <f>AVERAGE(G50,G55,G60)</f>
        <v>66.666666666666671</v>
      </c>
      <c r="K52">
        <f>_xlfn.STDEV.S(G50,G55,G60)</f>
        <v>57.735026918962575</v>
      </c>
      <c r="L52" s="5">
        <v>4</v>
      </c>
      <c r="M52" s="1" t="s">
        <v>7</v>
      </c>
    </row>
    <row r="53" spans="1:13" x14ac:dyDescent="0.35">
      <c r="A53" s="8"/>
      <c r="B53" s="2">
        <v>4</v>
      </c>
      <c r="C53" s="2">
        <v>0.5</v>
      </c>
      <c r="D53" s="2" t="s">
        <v>10</v>
      </c>
      <c r="E53" s="2">
        <v>950</v>
      </c>
      <c r="F53" s="2">
        <v>100</v>
      </c>
      <c r="G53" s="2">
        <v>100</v>
      </c>
      <c r="H53">
        <f>AVERAGE(F51,F56,F61)</f>
        <v>100</v>
      </c>
      <c r="I53">
        <f>_xlfn.STDEV.S(F51,F56,F61)</f>
        <v>0</v>
      </c>
      <c r="J53">
        <f>AVERAGE(G51,G56,G61)</f>
        <v>100</v>
      </c>
      <c r="K53">
        <f>_xlfn.STDEV.S(G51,G56,G61)</f>
        <v>0</v>
      </c>
      <c r="L53" s="5">
        <v>4</v>
      </c>
      <c r="M53" s="1" t="s">
        <v>8</v>
      </c>
    </row>
    <row r="54" spans="1:13" x14ac:dyDescent="0.35">
      <c r="A54" s="8"/>
      <c r="B54" s="2">
        <v>4</v>
      </c>
      <c r="C54" s="2">
        <v>0.5</v>
      </c>
      <c r="D54" s="2" t="s">
        <v>11</v>
      </c>
      <c r="E54" s="2">
        <v>1900</v>
      </c>
      <c r="F54" s="2">
        <v>100</v>
      </c>
      <c r="G54" s="2">
        <v>100</v>
      </c>
      <c r="H54">
        <f>AVERAGE(F52,F57,F62)</f>
        <v>100</v>
      </c>
      <c r="I54">
        <f>_xlfn.STDEV.S(F52,F57,F62)</f>
        <v>0</v>
      </c>
      <c r="J54">
        <f>AVERAGE(G52,G57,G62)</f>
        <v>100</v>
      </c>
      <c r="K54">
        <f>_xlfn.STDEV.S(G52,G57,G62)</f>
        <v>0</v>
      </c>
      <c r="L54" s="5">
        <v>4</v>
      </c>
      <c r="M54" s="1" t="s">
        <v>9</v>
      </c>
    </row>
    <row r="55" spans="1:13" x14ac:dyDescent="0.35">
      <c r="A55" s="9" t="s">
        <v>14</v>
      </c>
      <c r="B55" s="3">
        <v>4</v>
      </c>
      <c r="C55" s="3">
        <v>0.65</v>
      </c>
      <c r="D55" s="3" t="s">
        <v>7</v>
      </c>
      <c r="E55" s="3">
        <v>114</v>
      </c>
      <c r="F55" s="3">
        <v>100</v>
      </c>
      <c r="G55" s="3">
        <v>100</v>
      </c>
      <c r="H55">
        <f>AVERAGE(F53,F58,F63)</f>
        <v>100</v>
      </c>
      <c r="I55">
        <f>_xlfn.STDEV.S(F53,F58,F63)</f>
        <v>0</v>
      </c>
      <c r="J55">
        <f>AVERAGE(G53,G58,G63)</f>
        <v>100</v>
      </c>
      <c r="K55">
        <f>_xlfn.STDEV.S(G53,G58,G63)</f>
        <v>0</v>
      </c>
      <c r="L55" s="5">
        <v>4</v>
      </c>
      <c r="M55" s="1" t="s">
        <v>10</v>
      </c>
    </row>
    <row r="56" spans="1:13" x14ac:dyDescent="0.35">
      <c r="A56" s="9"/>
      <c r="B56" s="3">
        <v>4</v>
      </c>
      <c r="C56" s="3">
        <v>0.65</v>
      </c>
      <c r="D56" s="3" t="s">
        <v>8</v>
      </c>
      <c r="E56" s="3">
        <v>266</v>
      </c>
      <c r="F56" s="3">
        <v>100</v>
      </c>
      <c r="G56" s="3">
        <v>100</v>
      </c>
      <c r="H56">
        <f>AVERAGE(F54,F59,F64)</f>
        <v>100</v>
      </c>
      <c r="I56">
        <f>_xlfn.STDEV.S(F54,F59,F64)</f>
        <v>0</v>
      </c>
      <c r="J56">
        <f>AVERAGE(G54,G59,G64)</f>
        <v>100</v>
      </c>
      <c r="K56">
        <f>_xlfn.STDEV.S(G54,G59,G64)</f>
        <v>0</v>
      </c>
      <c r="L56" s="5">
        <v>4</v>
      </c>
      <c r="M56" s="1" t="s">
        <v>11</v>
      </c>
    </row>
    <row r="57" spans="1:13" x14ac:dyDescent="0.35">
      <c r="A57" s="9"/>
      <c r="B57" s="3">
        <v>4</v>
      </c>
      <c r="C57" s="3">
        <v>0.65</v>
      </c>
      <c r="D57" s="3" t="s">
        <v>9</v>
      </c>
      <c r="E57" s="3">
        <v>570</v>
      </c>
      <c r="F57" s="3">
        <v>100</v>
      </c>
      <c r="G57" s="3">
        <v>100</v>
      </c>
    </row>
    <row r="58" spans="1:13" x14ac:dyDescent="0.35">
      <c r="A58" s="9"/>
      <c r="B58" s="3">
        <v>4</v>
      </c>
      <c r="C58" s="3">
        <v>0.65</v>
      </c>
      <c r="D58" s="3" t="s">
        <v>10</v>
      </c>
      <c r="E58" s="3">
        <v>950</v>
      </c>
      <c r="F58" s="3">
        <v>100</v>
      </c>
      <c r="G58" s="3">
        <v>100</v>
      </c>
    </row>
    <row r="59" spans="1:13" x14ac:dyDescent="0.35">
      <c r="A59" s="9"/>
      <c r="B59" s="3">
        <v>4</v>
      </c>
      <c r="C59" s="3">
        <v>0.65</v>
      </c>
      <c r="D59" s="3" t="s">
        <v>11</v>
      </c>
      <c r="E59" s="3">
        <v>1900</v>
      </c>
      <c r="F59" s="3">
        <v>100</v>
      </c>
      <c r="G59" s="3">
        <v>100</v>
      </c>
    </row>
    <row r="60" spans="1:13" x14ac:dyDescent="0.35">
      <c r="A60" s="8" t="s">
        <v>14</v>
      </c>
      <c r="B60" s="2">
        <v>4</v>
      </c>
      <c r="C60" s="2">
        <v>0.8</v>
      </c>
      <c r="D60" s="2" t="s">
        <v>7</v>
      </c>
      <c r="E60" s="2">
        <v>114</v>
      </c>
      <c r="F60" s="2">
        <v>100</v>
      </c>
      <c r="G60" s="2">
        <v>100</v>
      </c>
    </row>
    <row r="61" spans="1:13" x14ac:dyDescent="0.35">
      <c r="A61" s="8"/>
      <c r="B61" s="2">
        <v>4</v>
      </c>
      <c r="C61" s="2">
        <v>0.8</v>
      </c>
      <c r="D61" s="2" t="s">
        <v>8</v>
      </c>
      <c r="E61" s="2">
        <v>266</v>
      </c>
      <c r="F61" s="2">
        <v>100</v>
      </c>
      <c r="G61" s="2">
        <v>100</v>
      </c>
    </row>
    <row r="62" spans="1:13" x14ac:dyDescent="0.35">
      <c r="A62" s="8"/>
      <c r="B62" s="2">
        <v>4</v>
      </c>
      <c r="C62" s="2">
        <v>0.8</v>
      </c>
      <c r="D62" s="2" t="s">
        <v>9</v>
      </c>
      <c r="E62" s="2">
        <v>570</v>
      </c>
      <c r="F62" s="2">
        <v>100</v>
      </c>
      <c r="G62" s="2">
        <v>100</v>
      </c>
    </row>
    <row r="63" spans="1:13" x14ac:dyDescent="0.35">
      <c r="A63" s="8"/>
      <c r="B63" s="2">
        <v>4</v>
      </c>
      <c r="C63" s="2">
        <v>0.8</v>
      </c>
      <c r="D63" s="2" t="s">
        <v>10</v>
      </c>
      <c r="E63" s="2">
        <v>950</v>
      </c>
      <c r="F63" s="2">
        <v>100</v>
      </c>
      <c r="G63" s="2">
        <v>100</v>
      </c>
    </row>
    <row r="64" spans="1:13" x14ac:dyDescent="0.35">
      <c r="A64" s="8"/>
      <c r="B64" s="2">
        <v>4</v>
      </c>
      <c r="C64" s="2">
        <v>0.8</v>
      </c>
      <c r="D64" s="2" t="s">
        <v>11</v>
      </c>
      <c r="E64" s="2">
        <v>1900</v>
      </c>
      <c r="F64" s="2">
        <v>100</v>
      </c>
      <c r="G64" s="2">
        <v>100</v>
      </c>
    </row>
    <row r="65" spans="1:13" x14ac:dyDescent="0.35">
      <c r="A65" s="4"/>
      <c r="B65" s="4"/>
      <c r="C65" s="4"/>
      <c r="D65" s="4"/>
      <c r="E65" s="4"/>
      <c r="F65" s="4"/>
      <c r="G65" s="4"/>
    </row>
    <row r="66" spans="1:13" x14ac:dyDescent="0.35">
      <c r="A66" s="8" t="s">
        <v>14</v>
      </c>
      <c r="B66" s="2">
        <v>5</v>
      </c>
      <c r="C66" s="2">
        <v>0.5</v>
      </c>
      <c r="D66" s="2" t="s">
        <v>7</v>
      </c>
      <c r="E66" s="2">
        <v>114</v>
      </c>
      <c r="F66" s="2">
        <v>100</v>
      </c>
      <c r="G66" s="2">
        <v>100</v>
      </c>
    </row>
    <row r="67" spans="1:13" x14ac:dyDescent="0.35">
      <c r="A67" s="8"/>
      <c r="B67" s="2">
        <v>5</v>
      </c>
      <c r="C67" s="2">
        <v>0.5</v>
      </c>
      <c r="D67" s="2" t="s">
        <v>8</v>
      </c>
      <c r="E67" s="2">
        <v>266</v>
      </c>
      <c r="F67" s="2">
        <v>100</v>
      </c>
      <c r="G67" s="2">
        <v>100</v>
      </c>
      <c r="H67" s="6" t="s">
        <v>3</v>
      </c>
      <c r="I67" s="6"/>
      <c r="J67" s="7" t="s">
        <v>4</v>
      </c>
      <c r="K67" s="7"/>
    </row>
    <row r="68" spans="1:13" x14ac:dyDescent="0.35">
      <c r="A68" s="8"/>
      <c r="B68" s="2">
        <v>5</v>
      </c>
      <c r="C68" s="2">
        <v>0.5</v>
      </c>
      <c r="D68" s="2" t="s">
        <v>9</v>
      </c>
      <c r="E68" s="2">
        <v>570</v>
      </c>
      <c r="F68" s="2">
        <v>100</v>
      </c>
      <c r="G68" s="2">
        <v>100</v>
      </c>
      <c r="H68" t="s">
        <v>21</v>
      </c>
      <c r="I68" t="s">
        <v>22</v>
      </c>
      <c r="J68" t="s">
        <v>21</v>
      </c>
      <c r="K68" t="s">
        <v>22</v>
      </c>
      <c r="L68" s="1" t="s">
        <v>20</v>
      </c>
    </row>
    <row r="69" spans="1:13" x14ac:dyDescent="0.35">
      <c r="A69" s="8"/>
      <c r="B69" s="2">
        <v>5</v>
      </c>
      <c r="C69" s="2">
        <v>0.5</v>
      </c>
      <c r="D69" s="2" t="s">
        <v>10</v>
      </c>
      <c r="E69" s="2">
        <v>950</v>
      </c>
      <c r="F69" s="2">
        <v>100</v>
      </c>
      <c r="G69" s="2">
        <v>100</v>
      </c>
      <c r="H69">
        <f>AVERAGE(F66,F71,F76)</f>
        <v>100</v>
      </c>
      <c r="I69">
        <f>_xlfn.STDEV.S(F66,F71,F76)</f>
        <v>0</v>
      </c>
      <c r="J69">
        <f>AVERAGE(G66,G71,G76)</f>
        <v>100</v>
      </c>
      <c r="K69">
        <f>_xlfn.STDEV.S(G66,G71,G76)</f>
        <v>0</v>
      </c>
      <c r="L69" s="5">
        <v>5</v>
      </c>
      <c r="M69" s="1" t="s">
        <v>7</v>
      </c>
    </row>
    <row r="70" spans="1:13" x14ac:dyDescent="0.35">
      <c r="A70" s="8"/>
      <c r="B70" s="2">
        <v>5</v>
      </c>
      <c r="C70" s="2">
        <v>0.5</v>
      </c>
      <c r="D70" s="2" t="s">
        <v>11</v>
      </c>
      <c r="E70" s="2">
        <v>1900</v>
      </c>
      <c r="F70" s="2">
        <v>100</v>
      </c>
      <c r="G70" s="2">
        <v>100</v>
      </c>
      <c r="H70">
        <f>AVERAGE(F67,F72,F77)</f>
        <v>100</v>
      </c>
      <c r="I70">
        <f>_xlfn.STDEV.S(F67,F72,F77)</f>
        <v>0</v>
      </c>
      <c r="J70">
        <f>AVERAGE(G67,G72,G77)</f>
        <v>100</v>
      </c>
      <c r="K70">
        <f>_xlfn.STDEV.S(G67,G72,G77)</f>
        <v>0</v>
      </c>
      <c r="L70" s="5">
        <v>5</v>
      </c>
      <c r="M70" s="1" t="s">
        <v>8</v>
      </c>
    </row>
    <row r="71" spans="1:13" x14ac:dyDescent="0.35">
      <c r="A71" s="9" t="s">
        <v>14</v>
      </c>
      <c r="B71" s="3">
        <v>5</v>
      </c>
      <c r="C71" s="3">
        <v>0.65</v>
      </c>
      <c r="D71" s="3" t="s">
        <v>7</v>
      </c>
      <c r="E71" s="3">
        <v>114</v>
      </c>
      <c r="F71" s="3">
        <v>100</v>
      </c>
      <c r="G71" s="3">
        <v>100</v>
      </c>
      <c r="H71">
        <f>AVERAGE(F68,F73,F78)</f>
        <v>100</v>
      </c>
      <c r="I71">
        <f>_xlfn.STDEV.S(F68,F73,F78)</f>
        <v>0</v>
      </c>
      <c r="J71">
        <f>AVERAGE(G68,G73,G78)</f>
        <v>100</v>
      </c>
      <c r="K71">
        <f>_xlfn.STDEV.S(G68,G73,G78)</f>
        <v>0</v>
      </c>
      <c r="L71" s="5">
        <v>5</v>
      </c>
      <c r="M71" s="1" t="s">
        <v>9</v>
      </c>
    </row>
    <row r="72" spans="1:13" x14ac:dyDescent="0.35">
      <c r="A72" s="9"/>
      <c r="B72" s="3">
        <v>5</v>
      </c>
      <c r="C72" s="3">
        <v>0.65</v>
      </c>
      <c r="D72" s="3" t="s">
        <v>8</v>
      </c>
      <c r="E72" s="3">
        <v>266</v>
      </c>
      <c r="F72" s="3">
        <v>100</v>
      </c>
      <c r="G72" s="3">
        <v>100</v>
      </c>
      <c r="H72">
        <f>AVERAGE(F69,F74,F79)</f>
        <v>100</v>
      </c>
      <c r="I72">
        <f>_xlfn.STDEV.S(F69,F74,F79)</f>
        <v>0</v>
      </c>
      <c r="J72">
        <f>AVERAGE(G69,G74,G79)</f>
        <v>100</v>
      </c>
      <c r="K72">
        <f>_xlfn.STDEV.S(G69,G74,G79)</f>
        <v>0</v>
      </c>
      <c r="L72" s="5">
        <v>5</v>
      </c>
      <c r="M72" s="1" t="s">
        <v>10</v>
      </c>
    </row>
    <row r="73" spans="1:13" x14ac:dyDescent="0.35">
      <c r="A73" s="9"/>
      <c r="B73" s="3">
        <v>5</v>
      </c>
      <c r="C73" s="3">
        <v>0.65</v>
      </c>
      <c r="D73" s="3" t="s">
        <v>9</v>
      </c>
      <c r="E73" s="3">
        <v>570</v>
      </c>
      <c r="F73" s="3">
        <v>100</v>
      </c>
      <c r="G73" s="3">
        <v>100</v>
      </c>
      <c r="H73">
        <f>AVERAGE(F70,F75,F80)</f>
        <v>100</v>
      </c>
      <c r="I73">
        <f>_xlfn.STDEV.S(F70,F75,F80)</f>
        <v>0</v>
      </c>
      <c r="J73">
        <f>AVERAGE(G70,G75,G80)</f>
        <v>100</v>
      </c>
      <c r="K73">
        <f>_xlfn.STDEV.S(G70,G75,G80)</f>
        <v>0</v>
      </c>
      <c r="L73" s="5">
        <v>5</v>
      </c>
      <c r="M73" s="1" t="s">
        <v>11</v>
      </c>
    </row>
    <row r="74" spans="1:13" x14ac:dyDescent="0.35">
      <c r="A74" s="9"/>
      <c r="B74" s="3">
        <v>5</v>
      </c>
      <c r="C74" s="3">
        <v>0.65</v>
      </c>
      <c r="D74" s="3" t="s">
        <v>10</v>
      </c>
      <c r="E74" s="3">
        <v>950</v>
      </c>
      <c r="F74" s="3">
        <v>100</v>
      </c>
      <c r="G74" s="3">
        <v>100</v>
      </c>
    </row>
    <row r="75" spans="1:13" x14ac:dyDescent="0.35">
      <c r="A75" s="9"/>
      <c r="B75" s="3">
        <v>5</v>
      </c>
      <c r="C75" s="3">
        <v>0.65</v>
      </c>
      <c r="D75" s="3" t="s">
        <v>11</v>
      </c>
      <c r="E75" s="3">
        <v>1900</v>
      </c>
      <c r="F75" s="3">
        <v>100</v>
      </c>
      <c r="G75" s="3">
        <v>100</v>
      </c>
    </row>
    <row r="76" spans="1:13" x14ac:dyDescent="0.35">
      <c r="A76" s="8" t="s">
        <v>14</v>
      </c>
      <c r="B76" s="2">
        <v>5</v>
      </c>
      <c r="C76" s="2">
        <v>0.8</v>
      </c>
      <c r="D76" s="2" t="s">
        <v>7</v>
      </c>
      <c r="E76" s="2">
        <v>114</v>
      </c>
      <c r="F76" s="2">
        <v>100</v>
      </c>
      <c r="G76" s="2">
        <v>100</v>
      </c>
    </row>
    <row r="77" spans="1:13" x14ac:dyDescent="0.35">
      <c r="A77" s="8"/>
      <c r="B77" s="2">
        <v>5</v>
      </c>
      <c r="C77" s="2">
        <v>0.8</v>
      </c>
      <c r="D77" s="2" t="s">
        <v>8</v>
      </c>
      <c r="E77" s="2">
        <v>266</v>
      </c>
      <c r="F77" s="2">
        <v>100</v>
      </c>
      <c r="G77" s="2">
        <v>100</v>
      </c>
    </row>
    <row r="78" spans="1:13" x14ac:dyDescent="0.35">
      <c r="A78" s="8"/>
      <c r="B78" s="2">
        <v>5</v>
      </c>
      <c r="C78" s="2">
        <v>0.8</v>
      </c>
      <c r="D78" s="2" t="s">
        <v>9</v>
      </c>
      <c r="E78" s="2">
        <v>570</v>
      </c>
      <c r="F78" s="2">
        <v>100</v>
      </c>
      <c r="G78" s="2">
        <v>100</v>
      </c>
    </row>
    <row r="79" spans="1:13" x14ac:dyDescent="0.35">
      <c r="A79" s="8"/>
      <c r="B79" s="2">
        <v>5</v>
      </c>
      <c r="C79" s="2">
        <v>0.8</v>
      </c>
      <c r="D79" s="2" t="s">
        <v>10</v>
      </c>
      <c r="E79" s="2">
        <v>950</v>
      </c>
      <c r="F79" s="2">
        <v>100</v>
      </c>
      <c r="G79" s="2">
        <v>100</v>
      </c>
    </row>
    <row r="80" spans="1:13" x14ac:dyDescent="0.35">
      <c r="A80" s="8"/>
      <c r="B80" s="2">
        <v>5</v>
      </c>
      <c r="C80" s="2">
        <v>0.8</v>
      </c>
      <c r="D80" s="2" t="s">
        <v>11</v>
      </c>
      <c r="E80" s="2">
        <v>1900</v>
      </c>
      <c r="F80" s="2">
        <v>100</v>
      </c>
      <c r="G80" s="2">
        <v>100</v>
      </c>
    </row>
  </sheetData>
  <mergeCells count="27">
    <mergeCell ref="A66:A70"/>
    <mergeCell ref="A71:A75"/>
    <mergeCell ref="A76:A80"/>
    <mergeCell ref="A34:A38"/>
    <mergeCell ref="A39:A43"/>
    <mergeCell ref="A44:A48"/>
    <mergeCell ref="A50:A54"/>
    <mergeCell ref="A55:A59"/>
    <mergeCell ref="A60:A64"/>
    <mergeCell ref="A28:A32"/>
    <mergeCell ref="H1:I1"/>
    <mergeCell ref="J1:K1"/>
    <mergeCell ref="H9:I9"/>
    <mergeCell ref="J9:K9"/>
    <mergeCell ref="H18:I18"/>
    <mergeCell ref="J18:K18"/>
    <mergeCell ref="A2:A6"/>
    <mergeCell ref="A7:A11"/>
    <mergeCell ref="A12:A16"/>
    <mergeCell ref="A18:A22"/>
    <mergeCell ref="A23:A27"/>
    <mergeCell ref="H35:I35"/>
    <mergeCell ref="J35:K35"/>
    <mergeCell ref="H50:I50"/>
    <mergeCell ref="J50:K50"/>
    <mergeCell ref="H67:I67"/>
    <mergeCell ref="J67:K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D0EB-5B0D-4D57-88D3-ACDAB92AC511}">
  <dimension ref="A1:M80"/>
  <sheetViews>
    <sheetView topLeftCell="A45" workbookViewId="0">
      <selection activeCell="H68" sqref="H68:K68"/>
    </sheetView>
  </sheetViews>
  <sheetFormatPr defaultRowHeight="14.5" x14ac:dyDescent="0.35"/>
  <cols>
    <col min="1" max="1" width="18.54296875" customWidth="1"/>
    <col min="2" max="2" width="16.26953125" style="1" customWidth="1"/>
    <col min="3" max="3" width="21.54296875" style="1" customWidth="1"/>
    <col min="4" max="5" width="18.54296875" style="1" customWidth="1"/>
    <col min="6" max="6" width="15.26953125" style="1" customWidth="1"/>
    <col min="7" max="7" width="13.08984375" style="1" customWidth="1"/>
  </cols>
  <sheetData>
    <row r="1" spans="1:13" x14ac:dyDescent="0.35">
      <c r="A1" t="s">
        <v>0</v>
      </c>
      <c r="B1" s="1" t="s">
        <v>2</v>
      </c>
      <c r="C1" s="1" t="s">
        <v>1</v>
      </c>
      <c r="D1" s="1" t="s">
        <v>5</v>
      </c>
      <c r="E1" s="1" t="s">
        <v>12</v>
      </c>
      <c r="F1" s="1" t="s">
        <v>3</v>
      </c>
      <c r="G1" s="1" t="s">
        <v>4</v>
      </c>
      <c r="H1" s="6" t="s">
        <v>3</v>
      </c>
      <c r="I1" s="6"/>
      <c r="J1" s="7" t="s">
        <v>4</v>
      </c>
      <c r="K1" s="7"/>
    </row>
    <row r="2" spans="1:13" x14ac:dyDescent="0.35">
      <c r="A2" s="8" t="s">
        <v>13</v>
      </c>
      <c r="B2" s="2">
        <v>1</v>
      </c>
      <c r="C2" s="2">
        <v>0.5</v>
      </c>
      <c r="D2" s="2" t="s">
        <v>7</v>
      </c>
      <c r="E2" s="2">
        <v>114</v>
      </c>
      <c r="F2" s="2">
        <v>100</v>
      </c>
      <c r="G2" s="2">
        <v>100</v>
      </c>
      <c r="H2" t="s">
        <v>21</v>
      </c>
      <c r="I2" t="s">
        <v>22</v>
      </c>
      <c r="J2" t="s">
        <v>21</v>
      </c>
      <c r="K2" t="s">
        <v>22</v>
      </c>
    </row>
    <row r="3" spans="1:13" x14ac:dyDescent="0.35">
      <c r="A3" s="8"/>
      <c r="B3" s="2">
        <v>1</v>
      </c>
      <c r="C3" s="2">
        <v>0.5</v>
      </c>
      <c r="D3" s="2" t="s">
        <v>8</v>
      </c>
      <c r="E3" s="2">
        <v>266</v>
      </c>
      <c r="F3" s="2">
        <v>100</v>
      </c>
      <c r="G3" s="2">
        <v>100</v>
      </c>
      <c r="H3" s="1">
        <f>AVERAGE(F2,F7,F12,F18,F23,F28,F34,F39,F44,F50,F55,F60,F66,F71,F76)</f>
        <v>100</v>
      </c>
      <c r="I3" s="1">
        <f>_xlfn.STDEV.S(F2,F7,F12,F18,F23,F28,F34,F39,F44,F50,F55,F60,F66,F71,F76)</f>
        <v>0</v>
      </c>
      <c r="J3" s="1">
        <f>AVERAGE(G2,G7,G12,G18,G23,G28,G34,G39,G44,G50,G55,G60,G66,G71,G76)</f>
        <v>86.666666666666671</v>
      </c>
      <c r="K3" s="1">
        <f>_xlfn.STDEV.S(G2,G7,G12,G18,G23,G28,G34,G39,G44,G50,G55,G60,G66,G71,G76)</f>
        <v>35.186577527449835</v>
      </c>
      <c r="L3" s="1" t="s">
        <v>7</v>
      </c>
    </row>
    <row r="4" spans="1:13" x14ac:dyDescent="0.35">
      <c r="A4" s="8"/>
      <c r="B4" s="2">
        <v>1</v>
      </c>
      <c r="C4" s="2">
        <v>0.5</v>
      </c>
      <c r="D4" s="2" t="s">
        <v>9</v>
      </c>
      <c r="E4" s="2">
        <v>570</v>
      </c>
      <c r="F4" s="2">
        <v>100</v>
      </c>
      <c r="G4" s="2">
        <v>100</v>
      </c>
      <c r="H4" s="1">
        <f>AVERAGE(F3,F8,F13,F19,F24,F29,F35,F40,F45,F51,F56,F61,F67,F72,F77)</f>
        <v>100</v>
      </c>
      <c r="I4" s="1">
        <f>_xlfn.STDEV.S(F3,F8,F13,F19,F24,F29,F35,F40,F45,F51,F56,F61,F67,F72,F77)</f>
        <v>0</v>
      </c>
      <c r="J4" s="1">
        <f>AVERAGE(G3,G8,G13,G19,G24,G29,G35,G40,G45,G51,G56,G61,G67,G72,G77)</f>
        <v>100</v>
      </c>
      <c r="K4" s="1">
        <f>_xlfn.STDEV.S(G3,G8,G13,G19,G24,G29,G35,G40,G45,G51,G56,G61,G67,G72,G77)</f>
        <v>0</v>
      </c>
      <c r="L4" s="1" t="s">
        <v>8</v>
      </c>
    </row>
    <row r="5" spans="1:13" x14ac:dyDescent="0.35">
      <c r="A5" s="8"/>
      <c r="B5" s="2">
        <v>1</v>
      </c>
      <c r="C5" s="2">
        <v>0.5</v>
      </c>
      <c r="D5" s="2" t="s">
        <v>10</v>
      </c>
      <c r="E5" s="2">
        <v>950</v>
      </c>
      <c r="F5" s="2">
        <v>100</v>
      </c>
      <c r="G5" s="2">
        <v>100</v>
      </c>
      <c r="H5" s="1">
        <f>AVERAGE(F4,F9,F14,F20,F25,F30,F36,F41,F46,F52,F57,F62,F68,F73,F78)</f>
        <v>100</v>
      </c>
      <c r="I5" s="1">
        <f>_xlfn.STDEV.S(F4,F9,F14,F20,F25,F30,F36,F41,F46,F52,F57,F62,F68,F73,F78)</f>
        <v>0</v>
      </c>
      <c r="J5" s="1">
        <f>AVERAGE(G4,G9,G14,G20,G25,G30,G36,G41,G46,G52,G57,G62,G68,G73,G78)</f>
        <v>100</v>
      </c>
      <c r="K5" s="1">
        <f>_xlfn.STDEV.S(G4,G9,G14,G20,G25,G30,G36,G41,G46,G52,G57,G62,G68,G73,G78)</f>
        <v>0</v>
      </c>
      <c r="L5" s="1" t="s">
        <v>9</v>
      </c>
    </row>
    <row r="6" spans="1:13" x14ac:dyDescent="0.35">
      <c r="A6" s="8"/>
      <c r="B6" s="2">
        <v>1</v>
      </c>
      <c r="C6" s="2">
        <v>0.5</v>
      </c>
      <c r="D6" s="2" t="s">
        <v>11</v>
      </c>
      <c r="E6" s="2">
        <v>1900</v>
      </c>
      <c r="F6" s="2">
        <v>100</v>
      </c>
      <c r="G6" s="2">
        <v>100</v>
      </c>
      <c r="H6" s="1">
        <f>AVERAGE(F5,F10,F15,F21,F26,F31,F37,F42,F47,F53,F58,F63,F69,F74,F79)</f>
        <v>100</v>
      </c>
      <c r="I6" s="1">
        <f>_xlfn.STDEV.S(F5,F10,F15,F21,F26,F31,F37,F42,F47,F53,F58,F63,F69,F74,F79)</f>
        <v>0</v>
      </c>
      <c r="J6" s="1">
        <f>AVERAGE(G5,G10,G15,G21,G26,G31,G37,G42,G47,G53,G58,G63,G69,G74,G79)</f>
        <v>100</v>
      </c>
      <c r="K6" s="1">
        <f>_xlfn.STDEV.S(G5,G10,G15,G21,G26,G31,G37,G42,G47,G53,G58,G63,G69,G74,G79)</f>
        <v>0</v>
      </c>
      <c r="L6" s="1" t="s">
        <v>10</v>
      </c>
    </row>
    <row r="7" spans="1:13" x14ac:dyDescent="0.35">
      <c r="A7" s="9" t="s">
        <v>13</v>
      </c>
      <c r="B7" s="3">
        <v>1</v>
      </c>
      <c r="C7" s="3">
        <v>0.65</v>
      </c>
      <c r="D7" s="3" t="s">
        <v>7</v>
      </c>
      <c r="E7" s="3">
        <v>114</v>
      </c>
      <c r="F7" s="3">
        <v>100</v>
      </c>
      <c r="G7" s="3">
        <v>100</v>
      </c>
      <c r="H7" s="1">
        <f>AVERAGE(F6,F11,F16,F22,F27,F32,F38,F43,F48,F54,F59,F64,F70,F75,F80)</f>
        <v>100</v>
      </c>
      <c r="I7" s="1">
        <f>_xlfn.STDEV.S(F6,F11,F16,F22,F27,F32,F38,F43,F48,F54,F59,F64,F70,F75,F80)</f>
        <v>0</v>
      </c>
      <c r="J7" s="1">
        <f>AVERAGE(G6,G11,G16,G22,G27,G32,G38,G43,G48,G54,G59,G64,G70,G75,G80)</f>
        <v>100</v>
      </c>
      <c r="K7" s="1">
        <f>_xlfn.STDEV.S(G6,G11,G16,G22,G27,G32,G38,G43,G48,G54,G59,G64,G70,G75,G80)</f>
        <v>0</v>
      </c>
      <c r="L7" s="1" t="s">
        <v>11</v>
      </c>
    </row>
    <row r="8" spans="1:13" x14ac:dyDescent="0.35">
      <c r="A8" s="9"/>
      <c r="B8" s="3">
        <v>1</v>
      </c>
      <c r="C8" s="3">
        <v>0.65</v>
      </c>
      <c r="D8" s="3" t="s">
        <v>8</v>
      </c>
      <c r="E8" s="3">
        <v>266</v>
      </c>
      <c r="F8" s="3">
        <v>100</v>
      </c>
      <c r="G8" s="3">
        <v>100</v>
      </c>
    </row>
    <row r="9" spans="1:13" x14ac:dyDescent="0.35">
      <c r="A9" s="9"/>
      <c r="B9" s="3">
        <v>1</v>
      </c>
      <c r="C9" s="3">
        <v>0.65</v>
      </c>
      <c r="D9" s="3" t="s">
        <v>9</v>
      </c>
      <c r="E9" s="3">
        <v>570</v>
      </c>
      <c r="F9" s="3">
        <v>100</v>
      </c>
      <c r="G9" s="3">
        <v>100</v>
      </c>
      <c r="H9" s="6" t="s">
        <v>3</v>
      </c>
      <c r="I9" s="6"/>
      <c r="J9" s="7" t="s">
        <v>4</v>
      </c>
      <c r="K9" s="7"/>
    </row>
    <row r="10" spans="1:13" x14ac:dyDescent="0.35">
      <c r="A10" s="9"/>
      <c r="B10" s="3">
        <v>1</v>
      </c>
      <c r="C10" s="3">
        <v>0.65</v>
      </c>
      <c r="D10" s="3" t="s">
        <v>10</v>
      </c>
      <c r="E10" s="3">
        <v>950</v>
      </c>
      <c r="F10" s="3">
        <v>100</v>
      </c>
      <c r="G10" s="3">
        <v>100</v>
      </c>
      <c r="H10" t="s">
        <v>21</v>
      </c>
      <c r="I10" t="s">
        <v>22</v>
      </c>
      <c r="J10" t="s">
        <v>21</v>
      </c>
      <c r="K10" t="s">
        <v>22</v>
      </c>
      <c r="L10" s="1" t="s">
        <v>20</v>
      </c>
    </row>
    <row r="11" spans="1:13" x14ac:dyDescent="0.35">
      <c r="A11" s="9"/>
      <c r="B11" s="3">
        <v>1</v>
      </c>
      <c r="C11" s="3">
        <v>0.65</v>
      </c>
      <c r="D11" s="3" t="s">
        <v>11</v>
      </c>
      <c r="E11" s="3">
        <v>1900</v>
      </c>
      <c r="F11" s="3">
        <v>100</v>
      </c>
      <c r="G11" s="3">
        <v>100</v>
      </c>
      <c r="H11">
        <f>AVERAGE(F2,F7,F12)</f>
        <v>100</v>
      </c>
      <c r="I11">
        <f>_xlfn.STDEV.S(F2,F7,F12)</f>
        <v>0</v>
      </c>
      <c r="J11">
        <f>AVERAGE(G2,G7,G12)</f>
        <v>100</v>
      </c>
      <c r="K11">
        <f>_xlfn.STDEV.S(G2,G7,G12)</f>
        <v>0</v>
      </c>
      <c r="L11" s="1">
        <v>1</v>
      </c>
      <c r="M11" s="1" t="s">
        <v>7</v>
      </c>
    </row>
    <row r="12" spans="1:13" x14ac:dyDescent="0.35">
      <c r="A12" s="8" t="s">
        <v>13</v>
      </c>
      <c r="B12" s="2">
        <v>1</v>
      </c>
      <c r="C12" s="2">
        <v>0.8</v>
      </c>
      <c r="D12" s="2" t="s">
        <v>7</v>
      </c>
      <c r="E12" s="2">
        <v>114</v>
      </c>
      <c r="F12" s="2">
        <v>100</v>
      </c>
      <c r="G12" s="2">
        <v>100</v>
      </c>
      <c r="H12">
        <f>AVERAGE(F3,F8,F13)</f>
        <v>100</v>
      </c>
      <c r="I12">
        <f>_xlfn.STDEV.S(F3,F8,F13)</f>
        <v>0</v>
      </c>
      <c r="J12">
        <f>AVERAGE(G3,G8,G13)</f>
        <v>100</v>
      </c>
      <c r="K12">
        <f>_xlfn.STDEV.S(G3,G8,G13)</f>
        <v>0</v>
      </c>
      <c r="L12" s="1">
        <v>1</v>
      </c>
      <c r="M12" s="1" t="s">
        <v>8</v>
      </c>
    </row>
    <row r="13" spans="1:13" x14ac:dyDescent="0.35">
      <c r="A13" s="8"/>
      <c r="B13" s="2">
        <v>1</v>
      </c>
      <c r="C13" s="2">
        <v>0.8</v>
      </c>
      <c r="D13" s="2" t="s">
        <v>8</v>
      </c>
      <c r="E13" s="2">
        <v>266</v>
      </c>
      <c r="F13" s="2">
        <v>100</v>
      </c>
      <c r="G13" s="2">
        <v>100</v>
      </c>
      <c r="H13">
        <f>AVERAGE(F4,F9,F14)</f>
        <v>100</v>
      </c>
      <c r="I13">
        <f>_xlfn.STDEV.S(F4,F9,F14)</f>
        <v>0</v>
      </c>
      <c r="J13">
        <f>AVERAGE(G4,G9,G14)</f>
        <v>100</v>
      </c>
      <c r="K13">
        <f>_xlfn.STDEV.S(G4,G9,G14)</f>
        <v>0</v>
      </c>
      <c r="L13" s="1">
        <v>1</v>
      </c>
      <c r="M13" s="1" t="s">
        <v>9</v>
      </c>
    </row>
    <row r="14" spans="1:13" x14ac:dyDescent="0.35">
      <c r="A14" s="8"/>
      <c r="B14" s="2">
        <v>1</v>
      </c>
      <c r="C14" s="2">
        <v>0.8</v>
      </c>
      <c r="D14" s="2" t="s">
        <v>9</v>
      </c>
      <c r="E14" s="2">
        <v>570</v>
      </c>
      <c r="F14" s="2">
        <v>100</v>
      </c>
      <c r="G14" s="2">
        <v>100</v>
      </c>
      <c r="H14">
        <f>AVERAGE(F5,F10,F15)</f>
        <v>100</v>
      </c>
      <c r="I14">
        <f>_xlfn.STDEV.S(F5,F10,F15)</f>
        <v>0</v>
      </c>
      <c r="J14">
        <f>AVERAGE(G5,G10,G15)</f>
        <v>100</v>
      </c>
      <c r="K14">
        <f>_xlfn.STDEV.S(G5,G10,G15)</f>
        <v>0</v>
      </c>
      <c r="L14" s="1">
        <v>1</v>
      </c>
      <c r="M14" s="1" t="s">
        <v>10</v>
      </c>
    </row>
    <row r="15" spans="1:13" x14ac:dyDescent="0.35">
      <c r="A15" s="8"/>
      <c r="B15" s="2">
        <v>1</v>
      </c>
      <c r="C15" s="2">
        <v>0.8</v>
      </c>
      <c r="D15" s="2" t="s">
        <v>10</v>
      </c>
      <c r="E15" s="2">
        <v>950</v>
      </c>
      <c r="F15" s="2">
        <v>100</v>
      </c>
      <c r="G15" s="2">
        <v>100</v>
      </c>
      <c r="H15">
        <f>AVERAGE(F6,F11,F16)</f>
        <v>100</v>
      </c>
      <c r="I15">
        <f>_xlfn.STDEV.S(F6,F11,F16)</f>
        <v>0</v>
      </c>
      <c r="J15">
        <f>AVERAGE(G6,G11,G16)</f>
        <v>100</v>
      </c>
      <c r="K15">
        <f>_xlfn.STDEV.S(G6,G11,G16)</f>
        <v>0</v>
      </c>
      <c r="L15" s="1">
        <v>1</v>
      </c>
      <c r="M15" s="1" t="s">
        <v>11</v>
      </c>
    </row>
    <row r="16" spans="1:13" x14ac:dyDescent="0.35">
      <c r="A16" s="8"/>
      <c r="B16" s="2">
        <v>1</v>
      </c>
      <c r="C16" s="2">
        <v>0.8</v>
      </c>
      <c r="D16" s="2" t="s">
        <v>11</v>
      </c>
      <c r="E16" s="2">
        <v>1900</v>
      </c>
      <c r="F16" s="2">
        <v>100</v>
      </c>
      <c r="G16" s="2">
        <v>100</v>
      </c>
    </row>
    <row r="17" spans="1:13" x14ac:dyDescent="0.35">
      <c r="A17" s="4"/>
      <c r="B17" s="4"/>
      <c r="C17" s="4"/>
      <c r="D17" s="4"/>
      <c r="E17" s="4"/>
      <c r="F17" s="4"/>
      <c r="G17" s="4"/>
    </row>
    <row r="18" spans="1:13" x14ac:dyDescent="0.35">
      <c r="A18" s="8" t="s">
        <v>13</v>
      </c>
      <c r="B18" s="2">
        <v>2</v>
      </c>
      <c r="C18" s="2">
        <v>0.5</v>
      </c>
      <c r="D18" s="2" t="s">
        <v>7</v>
      </c>
      <c r="E18" s="2">
        <v>114</v>
      </c>
      <c r="F18" s="2" t="s">
        <v>18</v>
      </c>
      <c r="G18" s="2">
        <v>0</v>
      </c>
      <c r="H18" s="6" t="s">
        <v>3</v>
      </c>
      <c r="I18" s="6"/>
      <c r="J18" s="7" t="s">
        <v>4</v>
      </c>
      <c r="K18" s="7"/>
    </row>
    <row r="19" spans="1:13" x14ac:dyDescent="0.35">
      <c r="A19" s="8"/>
      <c r="B19" s="2">
        <v>2</v>
      </c>
      <c r="C19" s="2">
        <v>0.5</v>
      </c>
      <c r="D19" s="2" t="s">
        <v>8</v>
      </c>
      <c r="E19" s="2">
        <v>266</v>
      </c>
      <c r="F19" s="2">
        <v>100</v>
      </c>
      <c r="G19" s="2">
        <v>100</v>
      </c>
      <c r="H19" t="s">
        <v>21</v>
      </c>
      <c r="I19" t="s">
        <v>22</v>
      </c>
      <c r="J19" t="s">
        <v>21</v>
      </c>
      <c r="K19" t="s">
        <v>22</v>
      </c>
      <c r="L19" s="1" t="s">
        <v>20</v>
      </c>
    </row>
    <row r="20" spans="1:13" x14ac:dyDescent="0.35">
      <c r="A20" s="8"/>
      <c r="B20" s="2">
        <v>2</v>
      </c>
      <c r="C20" s="2">
        <v>0.5</v>
      </c>
      <c r="D20" s="2" t="s">
        <v>9</v>
      </c>
      <c r="E20" s="2">
        <v>570</v>
      </c>
      <c r="F20" s="2">
        <v>100</v>
      </c>
      <c r="G20" s="2">
        <v>100</v>
      </c>
      <c r="H20">
        <f>AVERAGE(F18,F23,F28)</f>
        <v>100</v>
      </c>
      <c r="I20">
        <f>_xlfn.STDEV.S(F18,F23,F28)</f>
        <v>0</v>
      </c>
      <c r="J20">
        <f>AVERAGE(G18,G23,G28)</f>
        <v>66.666666666666671</v>
      </c>
      <c r="K20">
        <f>_xlfn.STDEV.S(G18,G23,G28)</f>
        <v>57.735026918962575</v>
      </c>
      <c r="L20" s="5">
        <v>2</v>
      </c>
      <c r="M20" s="1" t="s">
        <v>7</v>
      </c>
    </row>
    <row r="21" spans="1:13" x14ac:dyDescent="0.35">
      <c r="A21" s="8"/>
      <c r="B21" s="2">
        <v>2</v>
      </c>
      <c r="C21" s="2">
        <v>0.5</v>
      </c>
      <c r="D21" s="2" t="s">
        <v>10</v>
      </c>
      <c r="E21" s="2">
        <v>950</v>
      </c>
      <c r="F21" s="2">
        <v>100</v>
      </c>
      <c r="G21" s="2">
        <v>100</v>
      </c>
      <c r="H21">
        <f>AVERAGE(F19,F24,F29)</f>
        <v>100</v>
      </c>
      <c r="I21">
        <f>_xlfn.STDEV.S(F19,F24,F29)</f>
        <v>0</v>
      </c>
      <c r="J21">
        <f>AVERAGE(G19,G24,G29)</f>
        <v>100</v>
      </c>
      <c r="K21">
        <f>_xlfn.STDEV.S(G19,G24,G29)</f>
        <v>0</v>
      </c>
      <c r="L21" s="5">
        <v>2</v>
      </c>
      <c r="M21" s="1" t="s">
        <v>8</v>
      </c>
    </row>
    <row r="22" spans="1:13" x14ac:dyDescent="0.35">
      <c r="A22" s="8"/>
      <c r="B22" s="2">
        <v>2</v>
      </c>
      <c r="C22" s="2">
        <v>0.5</v>
      </c>
      <c r="D22" s="2" t="s">
        <v>11</v>
      </c>
      <c r="E22" s="2">
        <v>1900</v>
      </c>
      <c r="F22" s="2">
        <v>100</v>
      </c>
      <c r="G22" s="2">
        <v>100</v>
      </c>
      <c r="H22">
        <f>AVERAGE(F20,F25,F30)</f>
        <v>100</v>
      </c>
      <c r="I22">
        <f>_xlfn.STDEV.S(F20,F25,F30)</f>
        <v>0</v>
      </c>
      <c r="J22">
        <f>AVERAGE(G20,G25,G30)</f>
        <v>100</v>
      </c>
      <c r="K22">
        <f>_xlfn.STDEV.S(G20,G25,G30)</f>
        <v>0</v>
      </c>
      <c r="L22" s="5">
        <v>2</v>
      </c>
      <c r="M22" s="1" t="s">
        <v>9</v>
      </c>
    </row>
    <row r="23" spans="1:13" x14ac:dyDescent="0.35">
      <c r="A23" s="9" t="s">
        <v>13</v>
      </c>
      <c r="B23" s="3">
        <v>2</v>
      </c>
      <c r="C23" s="3">
        <v>0.65</v>
      </c>
      <c r="D23" s="3" t="s">
        <v>7</v>
      </c>
      <c r="E23" s="3">
        <v>114</v>
      </c>
      <c r="F23" s="3">
        <v>100</v>
      </c>
      <c r="G23" s="3">
        <v>100</v>
      </c>
      <c r="H23">
        <f>AVERAGE(F21,F26,F31)</f>
        <v>100</v>
      </c>
      <c r="I23">
        <f>_xlfn.STDEV.S(F21,F26,F31)</f>
        <v>0</v>
      </c>
      <c r="J23">
        <f>AVERAGE(G21,G26,G31)</f>
        <v>100</v>
      </c>
      <c r="K23">
        <f>_xlfn.STDEV.S(G21,G26,G31)</f>
        <v>0</v>
      </c>
      <c r="L23" s="5">
        <v>2</v>
      </c>
      <c r="M23" s="1" t="s">
        <v>10</v>
      </c>
    </row>
    <row r="24" spans="1:13" x14ac:dyDescent="0.35">
      <c r="A24" s="9"/>
      <c r="B24" s="3">
        <v>2</v>
      </c>
      <c r="C24" s="3">
        <v>0.65</v>
      </c>
      <c r="D24" s="3" t="s">
        <v>8</v>
      </c>
      <c r="E24" s="3">
        <v>266</v>
      </c>
      <c r="F24" s="3">
        <v>100</v>
      </c>
      <c r="G24" s="3">
        <v>100</v>
      </c>
      <c r="H24">
        <f>AVERAGE(F22,F27,F32)</f>
        <v>100</v>
      </c>
      <c r="I24">
        <f>_xlfn.STDEV.S(F22,F27,F32)</f>
        <v>0</v>
      </c>
      <c r="J24">
        <f>AVERAGE(G22,G27,G32)</f>
        <v>100</v>
      </c>
      <c r="K24">
        <f>_xlfn.STDEV.S(G22,G27,G32)</f>
        <v>0</v>
      </c>
      <c r="L24" s="5">
        <v>2</v>
      </c>
      <c r="M24" s="1" t="s">
        <v>11</v>
      </c>
    </row>
    <row r="25" spans="1:13" x14ac:dyDescent="0.35">
      <c r="A25" s="9"/>
      <c r="B25" s="3">
        <v>2</v>
      </c>
      <c r="C25" s="3">
        <v>0.65</v>
      </c>
      <c r="D25" s="3" t="s">
        <v>9</v>
      </c>
      <c r="E25" s="3">
        <v>570</v>
      </c>
      <c r="F25" s="3">
        <v>100</v>
      </c>
      <c r="G25" s="3">
        <v>100</v>
      </c>
    </row>
    <row r="26" spans="1:13" x14ac:dyDescent="0.35">
      <c r="A26" s="9"/>
      <c r="B26" s="3">
        <v>2</v>
      </c>
      <c r="C26" s="3">
        <v>0.65</v>
      </c>
      <c r="D26" s="3" t="s">
        <v>10</v>
      </c>
      <c r="E26" s="3">
        <v>950</v>
      </c>
      <c r="F26" s="3">
        <v>100</v>
      </c>
      <c r="G26" s="3">
        <v>100</v>
      </c>
    </row>
    <row r="27" spans="1:13" x14ac:dyDescent="0.35">
      <c r="A27" s="9"/>
      <c r="B27" s="3">
        <v>2</v>
      </c>
      <c r="C27" s="3">
        <v>0.65</v>
      </c>
      <c r="D27" s="3" t="s">
        <v>11</v>
      </c>
      <c r="E27" s="3">
        <v>1900</v>
      </c>
      <c r="F27" s="3">
        <v>100</v>
      </c>
      <c r="G27" s="3">
        <v>100</v>
      </c>
    </row>
    <row r="28" spans="1:13" x14ac:dyDescent="0.35">
      <c r="A28" s="8" t="s">
        <v>13</v>
      </c>
      <c r="B28" s="2">
        <v>2</v>
      </c>
      <c r="C28" s="2">
        <v>0.8</v>
      </c>
      <c r="D28" s="2" t="s">
        <v>7</v>
      </c>
      <c r="E28" s="2">
        <v>114</v>
      </c>
      <c r="F28" s="2">
        <v>100</v>
      </c>
      <c r="G28" s="2">
        <v>100</v>
      </c>
    </row>
    <row r="29" spans="1:13" x14ac:dyDescent="0.35">
      <c r="A29" s="8"/>
      <c r="B29" s="2">
        <v>2</v>
      </c>
      <c r="C29" s="2">
        <v>0.8</v>
      </c>
      <c r="D29" s="2" t="s">
        <v>8</v>
      </c>
      <c r="E29" s="2">
        <v>266</v>
      </c>
      <c r="F29" s="2">
        <v>100</v>
      </c>
      <c r="G29" s="2">
        <v>100</v>
      </c>
    </row>
    <row r="30" spans="1:13" x14ac:dyDescent="0.35">
      <c r="A30" s="8"/>
      <c r="B30" s="2">
        <v>2</v>
      </c>
      <c r="C30" s="2">
        <v>0.8</v>
      </c>
      <c r="D30" s="2" t="s">
        <v>9</v>
      </c>
      <c r="E30" s="2">
        <v>570</v>
      </c>
      <c r="F30" s="2">
        <v>100</v>
      </c>
      <c r="G30" s="2">
        <v>100</v>
      </c>
    </row>
    <row r="31" spans="1:13" x14ac:dyDescent="0.35">
      <c r="A31" s="8"/>
      <c r="B31" s="2">
        <v>2</v>
      </c>
      <c r="C31" s="2">
        <v>0.8</v>
      </c>
      <c r="D31" s="2" t="s">
        <v>10</v>
      </c>
      <c r="E31" s="2">
        <v>950</v>
      </c>
      <c r="F31" s="2">
        <v>100</v>
      </c>
      <c r="G31" s="2">
        <v>100</v>
      </c>
    </row>
    <row r="32" spans="1:13" x14ac:dyDescent="0.35">
      <c r="A32" s="8"/>
      <c r="B32" s="2">
        <v>2</v>
      </c>
      <c r="C32" s="2">
        <v>0.8</v>
      </c>
      <c r="D32" s="2" t="s">
        <v>11</v>
      </c>
      <c r="E32" s="2">
        <v>1900</v>
      </c>
      <c r="F32" s="2">
        <v>100</v>
      </c>
      <c r="G32" s="2">
        <v>100</v>
      </c>
    </row>
    <row r="33" spans="1:13" x14ac:dyDescent="0.35">
      <c r="A33" s="4"/>
      <c r="B33" s="4"/>
      <c r="C33" s="4"/>
      <c r="D33" s="4"/>
      <c r="E33" s="4"/>
      <c r="F33" s="4"/>
      <c r="G33" s="4"/>
    </row>
    <row r="34" spans="1:13" x14ac:dyDescent="0.35">
      <c r="A34" s="8" t="s">
        <v>13</v>
      </c>
      <c r="B34" s="2">
        <v>3</v>
      </c>
      <c r="C34" s="2">
        <v>0.5</v>
      </c>
      <c r="D34" s="2" t="s">
        <v>7</v>
      </c>
      <c r="E34" s="2">
        <v>114</v>
      </c>
      <c r="F34" s="2" t="s">
        <v>18</v>
      </c>
      <c r="G34" s="2">
        <v>0</v>
      </c>
    </row>
    <row r="35" spans="1:13" x14ac:dyDescent="0.35">
      <c r="A35" s="8"/>
      <c r="B35" s="2">
        <v>3</v>
      </c>
      <c r="C35" s="2">
        <v>0.5</v>
      </c>
      <c r="D35" s="2" t="s">
        <v>8</v>
      </c>
      <c r="E35" s="2">
        <v>266</v>
      </c>
      <c r="F35" s="2">
        <v>100</v>
      </c>
      <c r="G35" s="2">
        <v>100</v>
      </c>
      <c r="H35" s="6" t="s">
        <v>3</v>
      </c>
      <c r="I35" s="6"/>
      <c r="J35" s="7" t="s">
        <v>4</v>
      </c>
      <c r="K35" s="7"/>
    </row>
    <row r="36" spans="1:13" x14ac:dyDescent="0.35">
      <c r="A36" s="8"/>
      <c r="B36" s="2">
        <v>3</v>
      </c>
      <c r="C36" s="2">
        <v>0.5</v>
      </c>
      <c r="D36" s="2" t="s">
        <v>9</v>
      </c>
      <c r="E36" s="2">
        <v>570</v>
      </c>
      <c r="F36" s="2">
        <v>100</v>
      </c>
      <c r="G36" s="2">
        <v>100</v>
      </c>
      <c r="H36" t="s">
        <v>21</v>
      </c>
      <c r="I36" t="s">
        <v>22</v>
      </c>
      <c r="J36" t="s">
        <v>21</v>
      </c>
      <c r="K36" t="s">
        <v>22</v>
      </c>
      <c r="L36" s="1" t="s">
        <v>20</v>
      </c>
    </row>
    <row r="37" spans="1:13" x14ac:dyDescent="0.35">
      <c r="A37" s="8"/>
      <c r="B37" s="2">
        <v>3</v>
      </c>
      <c r="C37" s="2">
        <v>0.5</v>
      </c>
      <c r="D37" s="2" t="s">
        <v>10</v>
      </c>
      <c r="E37" s="2">
        <v>950</v>
      </c>
      <c r="F37" s="2">
        <v>100</v>
      </c>
      <c r="G37" s="2">
        <v>100</v>
      </c>
      <c r="H37">
        <f>AVERAGE(F34,F39,F44)</f>
        <v>100</v>
      </c>
      <c r="I37">
        <f>_xlfn.STDEV.S(F34,F39,F44)</f>
        <v>0</v>
      </c>
      <c r="J37">
        <f>AVERAGE(G34,G39,G44)</f>
        <v>66.666666666666671</v>
      </c>
      <c r="K37">
        <f>_xlfn.STDEV.S(G34,G39,G44)</f>
        <v>57.735026918962575</v>
      </c>
      <c r="L37" s="5">
        <v>3</v>
      </c>
      <c r="M37" s="1" t="s">
        <v>7</v>
      </c>
    </row>
    <row r="38" spans="1:13" x14ac:dyDescent="0.35">
      <c r="A38" s="8"/>
      <c r="B38" s="2">
        <v>3</v>
      </c>
      <c r="C38" s="2">
        <v>0.5</v>
      </c>
      <c r="D38" s="2" t="s">
        <v>11</v>
      </c>
      <c r="E38" s="2">
        <v>1900</v>
      </c>
      <c r="F38" s="2">
        <v>100</v>
      </c>
      <c r="G38" s="2">
        <v>100</v>
      </c>
      <c r="H38">
        <f>AVERAGE(F35,F40,F45)</f>
        <v>100</v>
      </c>
      <c r="I38">
        <f>_xlfn.STDEV.S(F35,F40,F45)</f>
        <v>0</v>
      </c>
      <c r="J38">
        <f>AVERAGE(G35,G40,G45)</f>
        <v>100</v>
      </c>
      <c r="K38">
        <f>_xlfn.STDEV.S(G35,G40,G45)</f>
        <v>0</v>
      </c>
      <c r="L38" s="5">
        <v>3</v>
      </c>
      <c r="M38" s="1" t="s">
        <v>8</v>
      </c>
    </row>
    <row r="39" spans="1:13" x14ac:dyDescent="0.35">
      <c r="A39" s="9" t="s">
        <v>13</v>
      </c>
      <c r="B39" s="3">
        <v>3</v>
      </c>
      <c r="C39" s="3">
        <v>0.65</v>
      </c>
      <c r="D39" s="3" t="s">
        <v>7</v>
      </c>
      <c r="E39" s="3">
        <v>114</v>
      </c>
      <c r="F39" s="3">
        <v>100</v>
      </c>
      <c r="G39" s="3">
        <v>100</v>
      </c>
      <c r="H39">
        <f>AVERAGE(F36,F41,F46)</f>
        <v>100</v>
      </c>
      <c r="I39">
        <f>_xlfn.STDEV.S(F36,F41,F46)</f>
        <v>0</v>
      </c>
      <c r="J39">
        <f>AVERAGE(G36,G41,G46)</f>
        <v>100</v>
      </c>
      <c r="K39">
        <f>_xlfn.STDEV.S(G36,G41,G46)</f>
        <v>0</v>
      </c>
      <c r="L39" s="5">
        <v>3</v>
      </c>
      <c r="M39" s="1" t="s">
        <v>9</v>
      </c>
    </row>
    <row r="40" spans="1:13" x14ac:dyDescent="0.35">
      <c r="A40" s="9"/>
      <c r="B40" s="3">
        <v>3</v>
      </c>
      <c r="C40" s="3">
        <v>0.65</v>
      </c>
      <c r="D40" s="3" t="s">
        <v>8</v>
      </c>
      <c r="E40" s="3">
        <v>266</v>
      </c>
      <c r="F40" s="3">
        <v>100</v>
      </c>
      <c r="G40" s="3">
        <v>100</v>
      </c>
      <c r="H40">
        <f>AVERAGE(F37,F42,F47)</f>
        <v>100</v>
      </c>
      <c r="I40">
        <f>_xlfn.STDEV.S(F37,F42,F47)</f>
        <v>0</v>
      </c>
      <c r="J40">
        <f>AVERAGE(G37,G42,G47)</f>
        <v>100</v>
      </c>
      <c r="K40">
        <f>_xlfn.STDEV.S(G37,G42,G47)</f>
        <v>0</v>
      </c>
      <c r="L40" s="5">
        <v>3</v>
      </c>
      <c r="M40" s="1" t="s">
        <v>10</v>
      </c>
    </row>
    <row r="41" spans="1:13" x14ac:dyDescent="0.35">
      <c r="A41" s="9"/>
      <c r="B41" s="3">
        <v>3</v>
      </c>
      <c r="C41" s="3">
        <v>0.65</v>
      </c>
      <c r="D41" s="3" t="s">
        <v>9</v>
      </c>
      <c r="E41" s="3">
        <v>570</v>
      </c>
      <c r="F41" s="3">
        <v>100</v>
      </c>
      <c r="G41" s="3">
        <v>100</v>
      </c>
      <c r="H41">
        <f>AVERAGE(F38,F43,F48)</f>
        <v>100</v>
      </c>
      <c r="I41">
        <f>_xlfn.STDEV.S(F38,F43,F48)</f>
        <v>0</v>
      </c>
      <c r="J41">
        <f>AVERAGE(G38,G43,G48)</f>
        <v>100</v>
      </c>
      <c r="K41">
        <f>_xlfn.STDEV.S(G38,G43,G48)</f>
        <v>0</v>
      </c>
      <c r="L41" s="5">
        <v>3</v>
      </c>
      <c r="M41" s="1" t="s">
        <v>11</v>
      </c>
    </row>
    <row r="42" spans="1:13" x14ac:dyDescent="0.35">
      <c r="A42" s="9"/>
      <c r="B42" s="3">
        <v>3</v>
      </c>
      <c r="C42" s="3">
        <v>0.65</v>
      </c>
      <c r="D42" s="3" t="s">
        <v>10</v>
      </c>
      <c r="E42" s="3">
        <v>950</v>
      </c>
      <c r="F42" s="3">
        <v>100</v>
      </c>
      <c r="G42" s="3">
        <v>100</v>
      </c>
    </row>
    <row r="43" spans="1:13" x14ac:dyDescent="0.35">
      <c r="A43" s="9"/>
      <c r="B43" s="3">
        <v>3</v>
      </c>
      <c r="C43" s="3">
        <v>0.65</v>
      </c>
      <c r="D43" s="3" t="s">
        <v>11</v>
      </c>
      <c r="E43" s="3">
        <v>1900</v>
      </c>
      <c r="F43" s="3">
        <v>100</v>
      </c>
      <c r="G43" s="3">
        <v>100</v>
      </c>
    </row>
    <row r="44" spans="1:13" x14ac:dyDescent="0.35">
      <c r="A44" s="8" t="s">
        <v>13</v>
      </c>
      <c r="B44" s="2">
        <v>3</v>
      </c>
      <c r="C44" s="2">
        <v>0.8</v>
      </c>
      <c r="D44" s="2" t="s">
        <v>7</v>
      </c>
      <c r="E44" s="2">
        <v>114</v>
      </c>
      <c r="F44" s="2">
        <v>100</v>
      </c>
      <c r="G44" s="2">
        <v>100</v>
      </c>
    </row>
    <row r="45" spans="1:13" x14ac:dyDescent="0.35">
      <c r="A45" s="8"/>
      <c r="B45" s="2">
        <v>3</v>
      </c>
      <c r="C45" s="2">
        <v>0.8</v>
      </c>
      <c r="D45" s="2" t="s">
        <v>8</v>
      </c>
      <c r="E45" s="2">
        <v>266</v>
      </c>
      <c r="F45" s="2">
        <v>100</v>
      </c>
      <c r="G45" s="2">
        <v>100</v>
      </c>
    </row>
    <row r="46" spans="1:13" x14ac:dyDescent="0.35">
      <c r="A46" s="8"/>
      <c r="B46" s="2">
        <v>3</v>
      </c>
      <c r="C46" s="2">
        <v>0.8</v>
      </c>
      <c r="D46" s="2" t="s">
        <v>9</v>
      </c>
      <c r="E46" s="2">
        <v>570</v>
      </c>
      <c r="F46" s="2">
        <v>100</v>
      </c>
      <c r="G46" s="2">
        <v>100</v>
      </c>
    </row>
    <row r="47" spans="1:13" x14ac:dyDescent="0.35">
      <c r="A47" s="8"/>
      <c r="B47" s="2">
        <v>3</v>
      </c>
      <c r="C47" s="2">
        <v>0.8</v>
      </c>
      <c r="D47" s="2" t="s">
        <v>10</v>
      </c>
      <c r="E47" s="2">
        <v>950</v>
      </c>
      <c r="F47" s="2">
        <v>100</v>
      </c>
      <c r="G47" s="2">
        <v>100</v>
      </c>
    </row>
    <row r="48" spans="1:13" x14ac:dyDescent="0.35">
      <c r="A48" s="8"/>
      <c r="B48" s="2">
        <v>3</v>
      </c>
      <c r="C48" s="2">
        <v>0.8</v>
      </c>
      <c r="D48" s="2" t="s">
        <v>11</v>
      </c>
      <c r="E48" s="2">
        <v>1900</v>
      </c>
      <c r="F48" s="2">
        <v>100</v>
      </c>
      <c r="G48" s="2">
        <v>100</v>
      </c>
    </row>
    <row r="49" spans="1:13" x14ac:dyDescent="0.35">
      <c r="A49" s="4"/>
      <c r="B49" s="4"/>
      <c r="C49" s="4"/>
      <c r="D49" s="4"/>
      <c r="E49" s="4"/>
      <c r="F49" s="4"/>
      <c r="G49" s="4"/>
    </row>
    <row r="50" spans="1:13" x14ac:dyDescent="0.35">
      <c r="A50" s="8" t="s">
        <v>13</v>
      </c>
      <c r="B50" s="2">
        <v>4</v>
      </c>
      <c r="C50" s="2">
        <v>0.5</v>
      </c>
      <c r="D50" s="2" t="s">
        <v>7</v>
      </c>
      <c r="E50" s="2">
        <v>114</v>
      </c>
      <c r="F50" s="2">
        <v>100</v>
      </c>
      <c r="G50" s="2">
        <v>100</v>
      </c>
      <c r="H50" s="6" t="s">
        <v>3</v>
      </c>
      <c r="I50" s="6"/>
      <c r="J50" s="7" t="s">
        <v>4</v>
      </c>
      <c r="K50" s="7"/>
    </row>
    <row r="51" spans="1:13" x14ac:dyDescent="0.35">
      <c r="A51" s="8"/>
      <c r="B51" s="2">
        <v>4</v>
      </c>
      <c r="C51" s="2">
        <v>0.5</v>
      </c>
      <c r="D51" s="2" t="s">
        <v>8</v>
      </c>
      <c r="E51" s="2">
        <v>266</v>
      </c>
      <c r="F51" s="2">
        <v>100</v>
      </c>
      <c r="G51" s="2">
        <v>100</v>
      </c>
      <c r="H51" t="s">
        <v>21</v>
      </c>
      <c r="I51" t="s">
        <v>22</v>
      </c>
      <c r="J51" t="s">
        <v>21</v>
      </c>
      <c r="K51" t="s">
        <v>22</v>
      </c>
      <c r="L51" s="1" t="s">
        <v>20</v>
      </c>
    </row>
    <row r="52" spans="1:13" x14ac:dyDescent="0.35">
      <c r="A52" s="8"/>
      <c r="B52" s="2">
        <v>4</v>
      </c>
      <c r="C52" s="2">
        <v>0.5</v>
      </c>
      <c r="D52" s="2" t="s">
        <v>9</v>
      </c>
      <c r="E52" s="2">
        <v>570</v>
      </c>
      <c r="F52" s="2">
        <v>100</v>
      </c>
      <c r="G52" s="2">
        <v>100</v>
      </c>
      <c r="H52">
        <f>AVERAGE(F50,F55,F60)</f>
        <v>100</v>
      </c>
      <c r="I52">
        <f>_xlfn.STDEV.S(F50,F55,F60)</f>
        <v>0</v>
      </c>
      <c r="J52">
        <f>AVERAGE(G50,G55,G60)</f>
        <v>100</v>
      </c>
      <c r="K52">
        <f>_xlfn.STDEV.S(G50,G55,G60)</f>
        <v>0</v>
      </c>
      <c r="L52" s="5">
        <v>4</v>
      </c>
      <c r="M52" s="1" t="s">
        <v>7</v>
      </c>
    </row>
    <row r="53" spans="1:13" x14ac:dyDescent="0.35">
      <c r="A53" s="8"/>
      <c r="B53" s="2">
        <v>4</v>
      </c>
      <c r="C53" s="2">
        <v>0.5</v>
      </c>
      <c r="D53" s="2" t="s">
        <v>10</v>
      </c>
      <c r="E53" s="2">
        <v>950</v>
      </c>
      <c r="F53" s="2">
        <v>100</v>
      </c>
      <c r="G53" s="2">
        <v>100</v>
      </c>
      <c r="H53">
        <f>AVERAGE(F51,F56,F61)</f>
        <v>100</v>
      </c>
      <c r="I53">
        <f>_xlfn.STDEV.S(F51,F56,F61)</f>
        <v>0</v>
      </c>
      <c r="J53">
        <f>AVERAGE(G51,G56,G61)</f>
        <v>100</v>
      </c>
      <c r="K53">
        <f>_xlfn.STDEV.S(G51,G56,G61)</f>
        <v>0</v>
      </c>
      <c r="L53" s="5">
        <v>4</v>
      </c>
      <c r="M53" s="1" t="s">
        <v>8</v>
      </c>
    </row>
    <row r="54" spans="1:13" x14ac:dyDescent="0.35">
      <c r="A54" s="8"/>
      <c r="B54" s="2">
        <v>4</v>
      </c>
      <c r="C54" s="2">
        <v>0.5</v>
      </c>
      <c r="D54" s="2" t="s">
        <v>11</v>
      </c>
      <c r="E54" s="2">
        <v>1900</v>
      </c>
      <c r="F54" s="2">
        <v>100</v>
      </c>
      <c r="G54" s="2">
        <v>100</v>
      </c>
      <c r="H54">
        <f>AVERAGE(F52,F57,F62)</f>
        <v>100</v>
      </c>
      <c r="I54">
        <f>_xlfn.STDEV.S(F52,F57,F62)</f>
        <v>0</v>
      </c>
      <c r="J54">
        <f>AVERAGE(G52,G57,G62)</f>
        <v>100</v>
      </c>
      <c r="K54">
        <f>_xlfn.STDEV.S(G52,G57,G62)</f>
        <v>0</v>
      </c>
      <c r="L54" s="5">
        <v>4</v>
      </c>
      <c r="M54" s="1" t="s">
        <v>9</v>
      </c>
    </row>
    <row r="55" spans="1:13" x14ac:dyDescent="0.35">
      <c r="A55" s="9" t="s">
        <v>13</v>
      </c>
      <c r="B55" s="3">
        <v>4</v>
      </c>
      <c r="C55" s="3">
        <v>0.65</v>
      </c>
      <c r="D55" s="3" t="s">
        <v>7</v>
      </c>
      <c r="E55" s="3">
        <v>114</v>
      </c>
      <c r="F55" s="3">
        <v>100</v>
      </c>
      <c r="G55" s="3">
        <v>100</v>
      </c>
      <c r="H55">
        <f>AVERAGE(F53,F58,F63)</f>
        <v>100</v>
      </c>
      <c r="I55">
        <f>_xlfn.STDEV.S(F53,F58,F63)</f>
        <v>0</v>
      </c>
      <c r="J55">
        <f>AVERAGE(G53,G58,G63)</f>
        <v>100</v>
      </c>
      <c r="K55">
        <f>_xlfn.STDEV.S(G53,G58,G63)</f>
        <v>0</v>
      </c>
      <c r="L55" s="5">
        <v>4</v>
      </c>
      <c r="M55" s="1" t="s">
        <v>10</v>
      </c>
    </row>
    <row r="56" spans="1:13" x14ac:dyDescent="0.35">
      <c r="A56" s="9"/>
      <c r="B56" s="3">
        <v>4</v>
      </c>
      <c r="C56" s="3">
        <v>0.65</v>
      </c>
      <c r="D56" s="3" t="s">
        <v>8</v>
      </c>
      <c r="E56" s="3">
        <v>266</v>
      </c>
      <c r="F56" s="3">
        <v>100</v>
      </c>
      <c r="G56" s="3">
        <v>100</v>
      </c>
      <c r="H56">
        <f>AVERAGE(F54,F59,F64)</f>
        <v>100</v>
      </c>
      <c r="I56">
        <f>_xlfn.STDEV.S(F54,F59,F64)</f>
        <v>0</v>
      </c>
      <c r="J56">
        <f>AVERAGE(G54,G59,G64)</f>
        <v>100</v>
      </c>
      <c r="K56">
        <f>_xlfn.STDEV.S(G54,G59,G64)</f>
        <v>0</v>
      </c>
      <c r="L56" s="5">
        <v>4</v>
      </c>
      <c r="M56" s="1" t="s">
        <v>11</v>
      </c>
    </row>
    <row r="57" spans="1:13" x14ac:dyDescent="0.35">
      <c r="A57" s="9"/>
      <c r="B57" s="3">
        <v>4</v>
      </c>
      <c r="C57" s="3">
        <v>0.65</v>
      </c>
      <c r="D57" s="3" t="s">
        <v>9</v>
      </c>
      <c r="E57" s="3">
        <v>570</v>
      </c>
      <c r="F57" s="3">
        <v>100</v>
      </c>
      <c r="G57" s="3">
        <v>100</v>
      </c>
    </row>
    <row r="58" spans="1:13" x14ac:dyDescent="0.35">
      <c r="A58" s="9"/>
      <c r="B58" s="3">
        <v>4</v>
      </c>
      <c r="C58" s="3">
        <v>0.65</v>
      </c>
      <c r="D58" s="3" t="s">
        <v>10</v>
      </c>
      <c r="E58" s="3">
        <v>950</v>
      </c>
      <c r="F58" s="3">
        <v>100</v>
      </c>
      <c r="G58" s="3">
        <v>100</v>
      </c>
    </row>
    <row r="59" spans="1:13" x14ac:dyDescent="0.35">
      <c r="A59" s="9"/>
      <c r="B59" s="3">
        <v>4</v>
      </c>
      <c r="C59" s="3">
        <v>0.65</v>
      </c>
      <c r="D59" s="3" t="s">
        <v>11</v>
      </c>
      <c r="E59" s="3">
        <v>1900</v>
      </c>
      <c r="F59" s="3">
        <v>100</v>
      </c>
      <c r="G59" s="3">
        <v>100</v>
      </c>
    </row>
    <row r="60" spans="1:13" x14ac:dyDescent="0.35">
      <c r="A60" s="8" t="s">
        <v>13</v>
      </c>
      <c r="B60" s="2">
        <v>4</v>
      </c>
      <c r="C60" s="2">
        <v>0.8</v>
      </c>
      <c r="D60" s="2" t="s">
        <v>7</v>
      </c>
      <c r="E60" s="2">
        <v>114</v>
      </c>
      <c r="F60" s="2">
        <v>100</v>
      </c>
      <c r="G60" s="2">
        <v>100</v>
      </c>
    </row>
    <row r="61" spans="1:13" x14ac:dyDescent="0.35">
      <c r="A61" s="8"/>
      <c r="B61" s="2">
        <v>4</v>
      </c>
      <c r="C61" s="2">
        <v>0.8</v>
      </c>
      <c r="D61" s="2" t="s">
        <v>8</v>
      </c>
      <c r="E61" s="2">
        <v>266</v>
      </c>
      <c r="F61" s="2">
        <v>100</v>
      </c>
      <c r="G61" s="2">
        <v>100</v>
      </c>
    </row>
    <row r="62" spans="1:13" x14ac:dyDescent="0.35">
      <c r="A62" s="8"/>
      <c r="B62" s="2">
        <v>4</v>
      </c>
      <c r="C62" s="2">
        <v>0.8</v>
      </c>
      <c r="D62" s="2" t="s">
        <v>9</v>
      </c>
      <c r="E62" s="2">
        <v>570</v>
      </c>
      <c r="F62" s="2">
        <v>100</v>
      </c>
      <c r="G62" s="2">
        <v>100</v>
      </c>
    </row>
    <row r="63" spans="1:13" x14ac:dyDescent="0.35">
      <c r="A63" s="8"/>
      <c r="B63" s="2">
        <v>4</v>
      </c>
      <c r="C63" s="2">
        <v>0.8</v>
      </c>
      <c r="D63" s="2" t="s">
        <v>10</v>
      </c>
      <c r="E63" s="2">
        <v>950</v>
      </c>
      <c r="F63" s="2">
        <v>100</v>
      </c>
      <c r="G63" s="2">
        <v>100</v>
      </c>
    </row>
    <row r="64" spans="1:13" x14ac:dyDescent="0.35">
      <c r="A64" s="8"/>
      <c r="B64" s="2">
        <v>4</v>
      </c>
      <c r="C64" s="2">
        <v>0.8</v>
      </c>
      <c r="D64" s="2" t="s">
        <v>11</v>
      </c>
      <c r="E64" s="2">
        <v>1900</v>
      </c>
      <c r="F64" s="2">
        <v>100</v>
      </c>
      <c r="G64" s="2">
        <v>100</v>
      </c>
    </row>
    <row r="65" spans="1:13" x14ac:dyDescent="0.35">
      <c r="A65" s="4"/>
      <c r="B65" s="4"/>
      <c r="C65" s="4"/>
      <c r="D65" s="4"/>
      <c r="E65" s="4"/>
      <c r="F65" s="4"/>
      <c r="G65" s="4"/>
    </row>
    <row r="66" spans="1:13" x14ac:dyDescent="0.35">
      <c r="A66" s="8" t="s">
        <v>13</v>
      </c>
      <c r="B66" s="2">
        <v>5</v>
      </c>
      <c r="C66" s="2">
        <v>0.5</v>
      </c>
      <c r="D66" s="2" t="s">
        <v>7</v>
      </c>
      <c r="E66" s="2">
        <v>114</v>
      </c>
      <c r="F66" s="2">
        <v>100</v>
      </c>
      <c r="G66" s="2">
        <v>100</v>
      </c>
    </row>
    <row r="67" spans="1:13" x14ac:dyDescent="0.35">
      <c r="A67" s="8"/>
      <c r="B67" s="2">
        <v>5</v>
      </c>
      <c r="C67" s="2">
        <v>0.5</v>
      </c>
      <c r="D67" s="2" t="s">
        <v>8</v>
      </c>
      <c r="E67" s="2">
        <v>266</v>
      </c>
      <c r="F67" s="2">
        <v>100</v>
      </c>
      <c r="G67" s="2">
        <v>100</v>
      </c>
      <c r="H67" s="6" t="s">
        <v>3</v>
      </c>
      <c r="I67" s="6"/>
      <c r="J67" s="7" t="s">
        <v>4</v>
      </c>
      <c r="K67" s="7"/>
    </row>
    <row r="68" spans="1:13" x14ac:dyDescent="0.35">
      <c r="A68" s="8"/>
      <c r="B68" s="2">
        <v>5</v>
      </c>
      <c r="C68" s="2">
        <v>0.5</v>
      </c>
      <c r="D68" s="2" t="s">
        <v>9</v>
      </c>
      <c r="E68" s="2">
        <v>570</v>
      </c>
      <c r="F68" s="2">
        <v>100</v>
      </c>
      <c r="G68" s="2">
        <v>100</v>
      </c>
      <c r="H68" t="s">
        <v>21</v>
      </c>
      <c r="I68" t="s">
        <v>22</v>
      </c>
      <c r="J68" t="s">
        <v>21</v>
      </c>
      <c r="K68" t="s">
        <v>22</v>
      </c>
      <c r="L68" s="1" t="s">
        <v>20</v>
      </c>
    </row>
    <row r="69" spans="1:13" x14ac:dyDescent="0.35">
      <c r="A69" s="8"/>
      <c r="B69" s="2">
        <v>5</v>
      </c>
      <c r="C69" s="2">
        <v>0.5</v>
      </c>
      <c r="D69" s="2" t="s">
        <v>10</v>
      </c>
      <c r="E69" s="2">
        <v>950</v>
      </c>
      <c r="F69" s="2">
        <v>100</v>
      </c>
      <c r="G69" s="2">
        <v>100</v>
      </c>
      <c r="H69">
        <f>AVERAGE(F66,F71,F76)</f>
        <v>100</v>
      </c>
      <c r="I69">
        <f>_xlfn.STDEV.S(F66,F71,F76)</f>
        <v>0</v>
      </c>
      <c r="J69">
        <f>AVERAGE(G66,G71,G76)</f>
        <v>100</v>
      </c>
      <c r="K69">
        <f>_xlfn.STDEV.S(G66,G71,G76)</f>
        <v>0</v>
      </c>
      <c r="L69" s="5">
        <v>5</v>
      </c>
      <c r="M69" s="1" t="s">
        <v>7</v>
      </c>
    </row>
    <row r="70" spans="1:13" x14ac:dyDescent="0.35">
      <c r="A70" s="8"/>
      <c r="B70" s="2">
        <v>5</v>
      </c>
      <c r="C70" s="2">
        <v>0.5</v>
      </c>
      <c r="D70" s="2" t="s">
        <v>11</v>
      </c>
      <c r="E70" s="2">
        <v>1900</v>
      </c>
      <c r="F70" s="2">
        <v>100</v>
      </c>
      <c r="G70" s="2">
        <v>100</v>
      </c>
      <c r="H70">
        <f>AVERAGE(F67,F72,F77)</f>
        <v>100</v>
      </c>
      <c r="I70">
        <f>_xlfn.STDEV.S(F67,F72,F77)</f>
        <v>0</v>
      </c>
      <c r="J70">
        <f>AVERAGE(G67,G72,G77)</f>
        <v>100</v>
      </c>
      <c r="K70">
        <f>_xlfn.STDEV.S(G67,G72,G77)</f>
        <v>0</v>
      </c>
      <c r="L70" s="5">
        <v>5</v>
      </c>
      <c r="M70" s="1" t="s">
        <v>8</v>
      </c>
    </row>
    <row r="71" spans="1:13" x14ac:dyDescent="0.35">
      <c r="A71" s="9" t="s">
        <v>13</v>
      </c>
      <c r="B71" s="3">
        <v>5</v>
      </c>
      <c r="C71" s="3">
        <v>0.65</v>
      </c>
      <c r="D71" s="3" t="s">
        <v>7</v>
      </c>
      <c r="E71" s="3">
        <v>114</v>
      </c>
      <c r="F71" s="3">
        <v>100</v>
      </c>
      <c r="G71" s="3">
        <v>100</v>
      </c>
      <c r="H71">
        <f>AVERAGE(F68,F73,F78)</f>
        <v>100</v>
      </c>
      <c r="I71">
        <f>_xlfn.STDEV.S(F68,F73,F78)</f>
        <v>0</v>
      </c>
      <c r="J71">
        <f>AVERAGE(G68,G73,G78)</f>
        <v>100</v>
      </c>
      <c r="K71">
        <f>_xlfn.STDEV.S(G68,G73,G78)</f>
        <v>0</v>
      </c>
      <c r="L71" s="5">
        <v>5</v>
      </c>
      <c r="M71" s="1" t="s">
        <v>9</v>
      </c>
    </row>
    <row r="72" spans="1:13" x14ac:dyDescent="0.35">
      <c r="A72" s="9"/>
      <c r="B72" s="3">
        <v>5</v>
      </c>
      <c r="C72" s="3">
        <v>0.65</v>
      </c>
      <c r="D72" s="3" t="s">
        <v>8</v>
      </c>
      <c r="E72" s="3">
        <v>266</v>
      </c>
      <c r="F72" s="3">
        <v>100</v>
      </c>
      <c r="G72" s="3">
        <v>100</v>
      </c>
      <c r="H72">
        <f>AVERAGE(F69,F74,F79)</f>
        <v>100</v>
      </c>
      <c r="I72">
        <f>_xlfn.STDEV.S(F69,F74,F79)</f>
        <v>0</v>
      </c>
      <c r="J72">
        <f>AVERAGE(G69,G74,G79)</f>
        <v>100</v>
      </c>
      <c r="K72">
        <f>_xlfn.STDEV.S(G69,G74,G79)</f>
        <v>0</v>
      </c>
      <c r="L72" s="5">
        <v>5</v>
      </c>
      <c r="M72" s="1" t="s">
        <v>10</v>
      </c>
    </row>
    <row r="73" spans="1:13" x14ac:dyDescent="0.35">
      <c r="A73" s="9"/>
      <c r="B73" s="3">
        <v>5</v>
      </c>
      <c r="C73" s="3">
        <v>0.65</v>
      </c>
      <c r="D73" s="3" t="s">
        <v>9</v>
      </c>
      <c r="E73" s="3">
        <v>570</v>
      </c>
      <c r="F73" s="3">
        <v>100</v>
      </c>
      <c r="G73" s="3">
        <v>100</v>
      </c>
      <c r="H73">
        <f>AVERAGE(F70,F75,F80)</f>
        <v>100</v>
      </c>
      <c r="I73">
        <f>_xlfn.STDEV.S(F70,F75,F80)</f>
        <v>0</v>
      </c>
      <c r="J73">
        <f>AVERAGE(G70,G75,G80)</f>
        <v>100</v>
      </c>
      <c r="K73">
        <f>_xlfn.STDEV.S(G70,G75,G80)</f>
        <v>0</v>
      </c>
      <c r="L73" s="5">
        <v>5</v>
      </c>
      <c r="M73" s="1" t="s">
        <v>11</v>
      </c>
    </row>
    <row r="74" spans="1:13" x14ac:dyDescent="0.35">
      <c r="A74" s="9"/>
      <c r="B74" s="3">
        <v>5</v>
      </c>
      <c r="C74" s="3">
        <v>0.65</v>
      </c>
      <c r="D74" s="3" t="s">
        <v>10</v>
      </c>
      <c r="E74" s="3">
        <v>950</v>
      </c>
      <c r="F74" s="3">
        <v>100</v>
      </c>
      <c r="G74" s="3">
        <v>100</v>
      </c>
    </row>
    <row r="75" spans="1:13" x14ac:dyDescent="0.35">
      <c r="A75" s="9"/>
      <c r="B75" s="3">
        <v>5</v>
      </c>
      <c r="C75" s="3">
        <v>0.65</v>
      </c>
      <c r="D75" s="3" t="s">
        <v>11</v>
      </c>
      <c r="E75" s="3">
        <v>1900</v>
      </c>
      <c r="F75" s="3">
        <v>100</v>
      </c>
      <c r="G75" s="3">
        <v>100</v>
      </c>
    </row>
    <row r="76" spans="1:13" x14ac:dyDescent="0.35">
      <c r="A76" s="8" t="s">
        <v>13</v>
      </c>
      <c r="B76" s="2">
        <v>5</v>
      </c>
      <c r="C76" s="2">
        <v>0.8</v>
      </c>
      <c r="D76" s="2" t="s">
        <v>7</v>
      </c>
      <c r="E76" s="2">
        <v>114</v>
      </c>
      <c r="F76" s="2">
        <v>100</v>
      </c>
      <c r="G76" s="2">
        <v>100</v>
      </c>
    </row>
    <row r="77" spans="1:13" x14ac:dyDescent="0.35">
      <c r="A77" s="8"/>
      <c r="B77" s="2">
        <v>5</v>
      </c>
      <c r="C77" s="2">
        <v>0.8</v>
      </c>
      <c r="D77" s="2" t="s">
        <v>8</v>
      </c>
      <c r="E77" s="2">
        <v>266</v>
      </c>
      <c r="F77" s="2">
        <v>100</v>
      </c>
      <c r="G77" s="2">
        <v>100</v>
      </c>
    </row>
    <row r="78" spans="1:13" x14ac:dyDescent="0.35">
      <c r="A78" s="8"/>
      <c r="B78" s="2">
        <v>5</v>
      </c>
      <c r="C78" s="2">
        <v>0.8</v>
      </c>
      <c r="D78" s="2" t="s">
        <v>9</v>
      </c>
      <c r="E78" s="2">
        <v>570</v>
      </c>
      <c r="F78" s="2">
        <v>100</v>
      </c>
      <c r="G78" s="2">
        <v>100</v>
      </c>
    </row>
    <row r="79" spans="1:13" x14ac:dyDescent="0.35">
      <c r="A79" s="8"/>
      <c r="B79" s="2">
        <v>5</v>
      </c>
      <c r="C79" s="2">
        <v>0.8</v>
      </c>
      <c r="D79" s="2" t="s">
        <v>10</v>
      </c>
      <c r="E79" s="2">
        <v>950</v>
      </c>
      <c r="F79" s="2">
        <v>100</v>
      </c>
      <c r="G79" s="2">
        <v>100</v>
      </c>
    </row>
    <row r="80" spans="1:13" x14ac:dyDescent="0.35">
      <c r="A80" s="8"/>
      <c r="B80" s="2">
        <v>5</v>
      </c>
      <c r="C80" s="2">
        <v>0.8</v>
      </c>
      <c r="D80" s="2" t="s">
        <v>11</v>
      </c>
      <c r="E80" s="2">
        <v>1900</v>
      </c>
      <c r="F80" s="2">
        <v>100</v>
      </c>
      <c r="G80" s="2">
        <v>100</v>
      </c>
    </row>
  </sheetData>
  <mergeCells count="27">
    <mergeCell ref="A66:A70"/>
    <mergeCell ref="A71:A75"/>
    <mergeCell ref="A76:A80"/>
    <mergeCell ref="A34:A38"/>
    <mergeCell ref="A39:A43"/>
    <mergeCell ref="A44:A48"/>
    <mergeCell ref="A50:A54"/>
    <mergeCell ref="A55:A59"/>
    <mergeCell ref="A60:A64"/>
    <mergeCell ref="A28:A32"/>
    <mergeCell ref="H1:I1"/>
    <mergeCell ref="J1:K1"/>
    <mergeCell ref="H9:I9"/>
    <mergeCell ref="J9:K9"/>
    <mergeCell ref="H18:I18"/>
    <mergeCell ref="J18:K18"/>
    <mergeCell ref="A2:A6"/>
    <mergeCell ref="A7:A11"/>
    <mergeCell ref="A12:A16"/>
    <mergeCell ref="A18:A22"/>
    <mergeCell ref="A23:A27"/>
    <mergeCell ref="H35:I35"/>
    <mergeCell ref="J35:K35"/>
    <mergeCell ref="H50:I50"/>
    <mergeCell ref="J50:K50"/>
    <mergeCell ref="H67:I67"/>
    <mergeCell ref="J67:K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opLeftCell="A61" workbookViewId="0">
      <selection activeCell="I61" sqref="I61"/>
    </sheetView>
  </sheetViews>
  <sheetFormatPr defaultRowHeight="14.5" x14ac:dyDescent="0.35"/>
  <cols>
    <col min="1" max="1" width="18.54296875" customWidth="1"/>
    <col min="2" max="2" width="16.26953125" style="1" customWidth="1"/>
    <col min="3" max="3" width="21.54296875" style="1" customWidth="1"/>
    <col min="4" max="5" width="18.54296875" style="1" customWidth="1"/>
    <col min="6" max="6" width="15.26953125" style="1" customWidth="1"/>
    <col min="7" max="7" width="13.08984375" style="1" customWidth="1"/>
    <col min="8" max="8" width="10.08984375" customWidth="1"/>
    <col min="9" max="9" width="15.453125" customWidth="1"/>
    <col min="10" max="10" width="13" customWidth="1"/>
    <col min="11" max="11" width="16.08984375" customWidth="1"/>
    <col min="13" max="13" width="21.26953125" customWidth="1"/>
  </cols>
  <sheetData>
    <row r="1" spans="1:13" x14ac:dyDescent="0.35">
      <c r="A1" t="s">
        <v>0</v>
      </c>
      <c r="B1" s="1" t="s">
        <v>2</v>
      </c>
      <c r="C1" s="1" t="s">
        <v>1</v>
      </c>
      <c r="D1" s="1" t="s">
        <v>5</v>
      </c>
      <c r="E1" s="1" t="s">
        <v>12</v>
      </c>
      <c r="F1" s="1" t="s">
        <v>3</v>
      </c>
      <c r="G1" s="1" t="s">
        <v>4</v>
      </c>
      <c r="H1" s="6" t="s">
        <v>3</v>
      </c>
      <c r="I1" s="6"/>
      <c r="J1" s="7" t="s">
        <v>4</v>
      </c>
      <c r="K1" s="7"/>
    </row>
    <row r="2" spans="1:13" x14ac:dyDescent="0.35">
      <c r="A2" s="8" t="s">
        <v>6</v>
      </c>
      <c r="B2" s="2">
        <v>1</v>
      </c>
      <c r="C2" s="2">
        <v>0.5</v>
      </c>
      <c r="D2" s="2" t="s">
        <v>7</v>
      </c>
      <c r="E2" s="2">
        <v>114</v>
      </c>
      <c r="F2" s="2">
        <v>100</v>
      </c>
      <c r="G2" s="2">
        <v>100</v>
      </c>
      <c r="H2" t="s">
        <v>21</v>
      </c>
      <c r="I2" t="s">
        <v>22</v>
      </c>
      <c r="J2" t="s">
        <v>21</v>
      </c>
      <c r="K2" t="s">
        <v>22</v>
      </c>
    </row>
    <row r="3" spans="1:13" x14ac:dyDescent="0.35">
      <c r="A3" s="8"/>
      <c r="B3" s="2">
        <v>1</v>
      </c>
      <c r="C3" s="2">
        <v>0.5</v>
      </c>
      <c r="D3" s="2" t="s">
        <v>8</v>
      </c>
      <c r="E3" s="2">
        <v>266</v>
      </c>
      <c r="F3" s="2">
        <v>100</v>
      </c>
      <c r="G3" s="2">
        <v>100</v>
      </c>
      <c r="H3" s="1">
        <f>AVERAGE(F2,F7,F12,F18,F23,F28,F34,F39,F44,F50,F55,F60,F66,F71,F76)</f>
        <v>97.958571428571432</v>
      </c>
      <c r="I3" s="1">
        <f>_xlfn.STDEV.S(F2,F7,F12,F18,F23,F28,F34,F39,F44,F50,F55,F60,F66,F71,F76)</f>
        <v>7.6383262938570873</v>
      </c>
      <c r="J3" s="1">
        <f>AVERAGE(G2,G7,G12,G18,G23,G28,G34,G39,G44,G50,G55,G60,G66,G71,G76)</f>
        <v>93.333333333333329</v>
      </c>
      <c r="K3" s="1">
        <f>_xlfn.STDEV.S(G2,G7,G12,G18,G23,G28,G34,G39,G44,G50,G55,G60,G66,G71,G76)</f>
        <v>25.819888974716104</v>
      </c>
      <c r="L3" s="1" t="s">
        <v>7</v>
      </c>
      <c r="M3" s="7" t="s">
        <v>19</v>
      </c>
    </row>
    <row r="4" spans="1:13" x14ac:dyDescent="0.35">
      <c r="A4" s="8"/>
      <c r="B4" s="2">
        <v>1</v>
      </c>
      <c r="C4" s="2">
        <v>0.5</v>
      </c>
      <c r="D4" s="2" t="s">
        <v>9</v>
      </c>
      <c r="E4" s="2">
        <v>570</v>
      </c>
      <c r="F4" s="2">
        <v>100</v>
      </c>
      <c r="G4" s="2">
        <v>100</v>
      </c>
      <c r="H4" s="1">
        <f>AVERAGE(F3,F8,F13,F19,F24,F29,F35,F40,F45,F51,F56,F61,F67,F72,F77)</f>
        <v>100</v>
      </c>
      <c r="I4" s="1">
        <f>_xlfn.STDEV.S(F3,F8,F13,F19,F24,F29,F35,F40,F45,F51,F56,F61,F67,F72,F77)</f>
        <v>0</v>
      </c>
      <c r="J4" s="1">
        <f>AVERAGE(G3,G8,G13,G19,G24,G29,G35,G40,G45,G51,G56,G61,G67,G72,G77)</f>
        <v>100</v>
      </c>
      <c r="K4" s="1">
        <f>_xlfn.STDEV.S(G3,G8,G13,G19,G24,G29,G35,G40,G45,G51,G56,G61,G67,G72,G77)</f>
        <v>0</v>
      </c>
      <c r="L4" s="1" t="s">
        <v>8</v>
      </c>
      <c r="M4" s="7"/>
    </row>
    <row r="5" spans="1:13" x14ac:dyDescent="0.35">
      <c r="A5" s="8"/>
      <c r="B5" s="2">
        <v>1</v>
      </c>
      <c r="C5" s="2">
        <v>0.5</v>
      </c>
      <c r="D5" s="2" t="s">
        <v>10</v>
      </c>
      <c r="E5" s="2">
        <v>950</v>
      </c>
      <c r="F5" s="2">
        <v>100</v>
      </c>
      <c r="G5" s="2">
        <v>100</v>
      </c>
      <c r="H5" s="1">
        <f>AVERAGE(F4,F9,F14,F20,F25,F30,F36,F41,F46,F52,F57,F62,F68,F73,F78)</f>
        <v>99.486666666666665</v>
      </c>
      <c r="I5" s="1">
        <f>_xlfn.STDEV.S(F4,F9,F14,F20,F25,F30,F36,F41,F46,F52,F57,F62,F68,F73,F78)</f>
        <v>1.9881314510531414</v>
      </c>
      <c r="J5" s="1">
        <f>AVERAGE(G4,G9,G14,G20,G25,G30,G36,G41,G46,G52,G57,G62,G68,G73,G78)</f>
        <v>100</v>
      </c>
      <c r="K5" s="1">
        <f>_xlfn.STDEV.S(G4,G9,G14,G20,G25,G30,G36,G41,G46,G52,G57,G62,G68,G73,G78)</f>
        <v>0</v>
      </c>
      <c r="L5" s="1" t="s">
        <v>9</v>
      </c>
      <c r="M5" s="7"/>
    </row>
    <row r="6" spans="1:13" x14ac:dyDescent="0.35">
      <c r="A6" s="8"/>
      <c r="B6" s="2">
        <v>1</v>
      </c>
      <c r="C6" s="2">
        <v>0.5</v>
      </c>
      <c r="D6" s="2" t="s">
        <v>11</v>
      </c>
      <c r="E6" s="2">
        <v>1900</v>
      </c>
      <c r="F6" s="2">
        <v>100</v>
      </c>
      <c r="G6" s="2">
        <v>100</v>
      </c>
      <c r="H6" s="1">
        <f>AVERAGE(F5,F10,F15,F21,F26,F31,F37,F42,F47,F53,F58,F63,F69,F74,F79)</f>
        <v>100</v>
      </c>
      <c r="I6" s="1">
        <f>_xlfn.STDEV.S(F5,F10,F15,F21,F26,F31,F37,F42,F47,F53,F58,F63,F69,F74,F79)</f>
        <v>0</v>
      </c>
      <c r="J6" s="1">
        <f>AVERAGE(G5,G10,G15,G21,G26,G31,G37,G42,G47,G53,G58,G63,G69,G74,G79)</f>
        <v>100</v>
      </c>
      <c r="K6" s="1">
        <f>_xlfn.STDEV.S(G5,G10,G15,G21,G26,G31,G37,G42,G47,G53,G58,G63,G69,G74,G79)</f>
        <v>0</v>
      </c>
      <c r="L6" s="1" t="s">
        <v>10</v>
      </c>
      <c r="M6" s="7"/>
    </row>
    <row r="7" spans="1:13" x14ac:dyDescent="0.35">
      <c r="A7" s="9" t="s">
        <v>6</v>
      </c>
      <c r="B7" s="3">
        <v>1</v>
      </c>
      <c r="C7" s="3">
        <v>0.65</v>
      </c>
      <c r="D7" s="3" t="s">
        <v>7</v>
      </c>
      <c r="E7" s="3">
        <v>114</v>
      </c>
      <c r="F7" s="3">
        <v>100</v>
      </c>
      <c r="G7" s="3">
        <v>100</v>
      </c>
      <c r="H7" s="1">
        <f>AVERAGE(F6,F11,F16,F22,F27,F32,F38,F43,F48,F54,F59,F64,F70,F75,F80)</f>
        <v>100</v>
      </c>
      <c r="I7" s="1">
        <f>_xlfn.STDEV.S(F6,F11,F16,F22,F27,F32,F38,F43,F48,F54,F59,F64,F70,F75,F80)</f>
        <v>0</v>
      </c>
      <c r="J7" s="1">
        <f>AVERAGE(G6,G11,G16,G22,G27,G32,G38,G43,G48,G54,G59,G64,G70,G75,G80)</f>
        <v>100</v>
      </c>
      <c r="K7" s="1">
        <f>_xlfn.STDEV.S(G6,G11,G16,G22,G27,G32,G38,G43,G48,G54,G59,G64,G70,G75,G80)</f>
        <v>0</v>
      </c>
      <c r="L7" s="1" t="s">
        <v>11</v>
      </c>
      <c r="M7" s="7"/>
    </row>
    <row r="8" spans="1:13" x14ac:dyDescent="0.35">
      <c r="A8" s="9"/>
      <c r="B8" s="3">
        <v>1</v>
      </c>
      <c r="C8" s="3">
        <v>0.65</v>
      </c>
      <c r="D8" s="3" t="s">
        <v>8</v>
      </c>
      <c r="E8" s="3">
        <v>266</v>
      </c>
      <c r="F8" s="3">
        <v>100</v>
      </c>
      <c r="G8" s="3">
        <v>100</v>
      </c>
    </row>
    <row r="9" spans="1:13" x14ac:dyDescent="0.35">
      <c r="A9" s="9"/>
      <c r="B9" s="3">
        <v>1</v>
      </c>
      <c r="C9" s="3">
        <v>0.65</v>
      </c>
      <c r="D9" s="3" t="s">
        <v>9</v>
      </c>
      <c r="E9" s="3">
        <v>570</v>
      </c>
      <c r="F9" s="3">
        <v>100</v>
      </c>
      <c r="G9" s="3">
        <v>100</v>
      </c>
      <c r="H9" s="6" t="s">
        <v>3</v>
      </c>
      <c r="I9" s="6"/>
      <c r="J9" s="7" t="s">
        <v>4</v>
      </c>
      <c r="K9" s="7"/>
    </row>
    <row r="10" spans="1:13" x14ac:dyDescent="0.35">
      <c r="A10" s="9"/>
      <c r="B10" s="3">
        <v>1</v>
      </c>
      <c r="C10" s="3">
        <v>0.65</v>
      </c>
      <c r="D10" s="3" t="s">
        <v>10</v>
      </c>
      <c r="E10" s="3">
        <v>950</v>
      </c>
      <c r="F10" s="3">
        <v>100</v>
      </c>
      <c r="G10" s="3">
        <v>100</v>
      </c>
      <c r="H10" t="s">
        <v>21</v>
      </c>
      <c r="I10" t="s">
        <v>22</v>
      </c>
      <c r="J10" t="s">
        <v>21</v>
      </c>
      <c r="K10" t="s">
        <v>22</v>
      </c>
      <c r="L10" s="1" t="s">
        <v>20</v>
      </c>
    </row>
    <row r="11" spans="1:13" x14ac:dyDescent="0.35">
      <c r="A11" s="9"/>
      <c r="B11" s="3">
        <v>1</v>
      </c>
      <c r="C11" s="3">
        <v>0.65</v>
      </c>
      <c r="D11" s="3" t="s">
        <v>11</v>
      </c>
      <c r="E11" s="3">
        <v>1900</v>
      </c>
      <c r="F11" s="3">
        <v>100</v>
      </c>
      <c r="G11" s="3">
        <v>100</v>
      </c>
      <c r="H11">
        <f>AVERAGE(F2,F7,F12)</f>
        <v>100</v>
      </c>
      <c r="I11">
        <f>_xlfn.STDEV.S(F2,F7,F12)</f>
        <v>0</v>
      </c>
      <c r="J11">
        <f>AVERAGE(G2,G7,G12)</f>
        <v>100</v>
      </c>
      <c r="K11">
        <f>_xlfn.STDEV.S(G2,G7,G12)</f>
        <v>0</v>
      </c>
      <c r="L11" s="1">
        <v>1</v>
      </c>
      <c r="M11" s="1" t="s">
        <v>7</v>
      </c>
    </row>
    <row r="12" spans="1:13" x14ac:dyDescent="0.35">
      <c r="A12" s="8" t="s">
        <v>6</v>
      </c>
      <c r="B12" s="2">
        <v>1</v>
      </c>
      <c r="C12" s="2">
        <v>0.8</v>
      </c>
      <c r="D12" s="2" t="s">
        <v>7</v>
      </c>
      <c r="E12" s="2">
        <v>114</v>
      </c>
      <c r="F12" s="2">
        <v>100</v>
      </c>
      <c r="G12" s="2">
        <v>100</v>
      </c>
      <c r="H12">
        <f>AVERAGE(F3,F8,F13)</f>
        <v>100</v>
      </c>
      <c r="I12">
        <f>_xlfn.STDEV.S(F3,F8,F13)</f>
        <v>0</v>
      </c>
      <c r="J12">
        <f>AVERAGE(G3,G8,G13)</f>
        <v>100</v>
      </c>
      <c r="K12">
        <f>_xlfn.STDEV.S(G3,G8,G13)</f>
        <v>0</v>
      </c>
      <c r="L12" s="1">
        <v>1</v>
      </c>
      <c r="M12" s="1" t="s">
        <v>8</v>
      </c>
    </row>
    <row r="13" spans="1:13" x14ac:dyDescent="0.35">
      <c r="A13" s="8"/>
      <c r="B13" s="2">
        <v>1</v>
      </c>
      <c r="C13" s="2">
        <v>0.8</v>
      </c>
      <c r="D13" s="2" t="s">
        <v>8</v>
      </c>
      <c r="E13" s="2">
        <v>266</v>
      </c>
      <c r="F13" s="2">
        <v>100</v>
      </c>
      <c r="G13" s="2">
        <v>100</v>
      </c>
      <c r="H13">
        <f>AVERAGE(F4,F9,F14)</f>
        <v>100</v>
      </c>
      <c r="I13">
        <f>_xlfn.STDEV.S(F4,F9,F14)</f>
        <v>0</v>
      </c>
      <c r="J13">
        <f>AVERAGE(G4,G9,G14)</f>
        <v>100</v>
      </c>
      <c r="K13">
        <f>_xlfn.STDEV.S(G4,G9,G14)</f>
        <v>0</v>
      </c>
      <c r="L13" s="1">
        <v>1</v>
      </c>
      <c r="M13" s="1" t="s">
        <v>9</v>
      </c>
    </row>
    <row r="14" spans="1:13" x14ac:dyDescent="0.35">
      <c r="A14" s="8"/>
      <c r="B14" s="2">
        <v>1</v>
      </c>
      <c r="C14" s="2">
        <v>0.8</v>
      </c>
      <c r="D14" s="2" t="s">
        <v>9</v>
      </c>
      <c r="E14" s="2">
        <v>570</v>
      </c>
      <c r="F14" s="2">
        <v>100</v>
      </c>
      <c r="G14" s="2">
        <v>100</v>
      </c>
      <c r="H14">
        <f>AVERAGE(F5,F10,F15)</f>
        <v>100</v>
      </c>
      <c r="I14">
        <f>_xlfn.STDEV.S(F5,F10,F15)</f>
        <v>0</v>
      </c>
      <c r="J14">
        <f>AVERAGE(G5,G10,G15)</f>
        <v>100</v>
      </c>
      <c r="K14">
        <f>_xlfn.STDEV.S(G5,G10,G15)</f>
        <v>0</v>
      </c>
      <c r="L14" s="1">
        <v>1</v>
      </c>
      <c r="M14" s="1" t="s">
        <v>10</v>
      </c>
    </row>
    <row r="15" spans="1:13" x14ac:dyDescent="0.35">
      <c r="A15" s="8"/>
      <c r="B15" s="2">
        <v>1</v>
      </c>
      <c r="C15" s="2">
        <v>0.8</v>
      </c>
      <c r="D15" s="2" t="s">
        <v>10</v>
      </c>
      <c r="E15" s="2">
        <v>950</v>
      </c>
      <c r="F15" s="2">
        <v>100</v>
      </c>
      <c r="G15" s="2">
        <v>100</v>
      </c>
      <c r="H15">
        <f>AVERAGE(F6,F11,F16)</f>
        <v>100</v>
      </c>
      <c r="I15">
        <f>_xlfn.STDEV.S(F6,F11,F16)</f>
        <v>0</v>
      </c>
      <c r="J15">
        <f>AVERAGE(G6,G11,G16)</f>
        <v>100</v>
      </c>
      <c r="K15">
        <f>_xlfn.STDEV.S(G6,G11,G16)</f>
        <v>0</v>
      </c>
      <c r="L15" s="1">
        <v>1</v>
      </c>
      <c r="M15" s="1" t="s">
        <v>11</v>
      </c>
    </row>
    <row r="16" spans="1:13" x14ac:dyDescent="0.35">
      <c r="A16" s="8"/>
      <c r="B16" s="2">
        <v>1</v>
      </c>
      <c r="C16" s="2">
        <v>0.8</v>
      </c>
      <c r="D16" s="2" t="s">
        <v>11</v>
      </c>
      <c r="E16" s="2">
        <v>1900</v>
      </c>
      <c r="F16" s="2">
        <v>100</v>
      </c>
      <c r="G16" s="2">
        <v>100</v>
      </c>
    </row>
    <row r="17" spans="1:13" x14ac:dyDescent="0.35">
      <c r="A17" s="4"/>
      <c r="B17" s="4"/>
      <c r="C17" s="4"/>
      <c r="D17" s="4"/>
      <c r="E17" s="4"/>
      <c r="F17" s="4"/>
      <c r="G17" s="4"/>
    </row>
    <row r="18" spans="1:13" x14ac:dyDescent="0.35">
      <c r="A18" s="8" t="s">
        <v>6</v>
      </c>
      <c r="B18" s="2">
        <v>2</v>
      </c>
      <c r="C18" s="2">
        <v>0.5</v>
      </c>
      <c r="D18" s="2" t="s">
        <v>7</v>
      </c>
      <c r="E18" s="2">
        <v>114</v>
      </c>
      <c r="F18" s="2">
        <v>71.42</v>
      </c>
      <c r="G18" s="2">
        <v>100</v>
      </c>
      <c r="H18" s="6" t="s">
        <v>3</v>
      </c>
      <c r="I18" s="6"/>
      <c r="J18" s="7" t="s">
        <v>4</v>
      </c>
      <c r="K18" s="7"/>
    </row>
    <row r="19" spans="1:13" x14ac:dyDescent="0.35">
      <c r="A19" s="8"/>
      <c r="B19" s="2">
        <v>2</v>
      </c>
      <c r="C19" s="2">
        <v>0.5</v>
      </c>
      <c r="D19" s="2" t="s">
        <v>8</v>
      </c>
      <c r="E19" s="2">
        <v>266</v>
      </c>
      <c r="F19" s="2">
        <v>100</v>
      </c>
      <c r="G19" s="2">
        <v>100</v>
      </c>
      <c r="H19" t="s">
        <v>21</v>
      </c>
      <c r="I19" t="s">
        <v>22</v>
      </c>
      <c r="J19" t="s">
        <v>21</v>
      </c>
      <c r="K19" t="s">
        <v>22</v>
      </c>
      <c r="L19" s="1" t="s">
        <v>20</v>
      </c>
    </row>
    <row r="20" spans="1:13" x14ac:dyDescent="0.35">
      <c r="A20" s="8"/>
      <c r="B20" s="2">
        <v>2</v>
      </c>
      <c r="C20" s="2">
        <v>0.5</v>
      </c>
      <c r="D20" s="2" t="s">
        <v>9</v>
      </c>
      <c r="E20" s="2">
        <v>570</v>
      </c>
      <c r="F20" s="2">
        <v>100</v>
      </c>
      <c r="G20" s="2">
        <v>100</v>
      </c>
      <c r="H20">
        <f>AVERAGE(F18,F23,F28)</f>
        <v>85.710000000000008</v>
      </c>
      <c r="I20">
        <f>_xlfn.STDEV.S(F18,F23,F28)</f>
        <v>20.209111806311434</v>
      </c>
      <c r="J20">
        <f>AVERAGE(G18,G23,G28)</f>
        <v>66.666666666666671</v>
      </c>
      <c r="K20">
        <f>_xlfn.STDEV.S(G18,G23,G28)</f>
        <v>57.735026918962575</v>
      </c>
      <c r="L20" s="5">
        <v>2</v>
      </c>
      <c r="M20" s="1" t="s">
        <v>7</v>
      </c>
    </row>
    <row r="21" spans="1:13" x14ac:dyDescent="0.35">
      <c r="A21" s="8"/>
      <c r="B21" s="2">
        <v>2</v>
      </c>
      <c r="C21" s="2">
        <v>0.5</v>
      </c>
      <c r="D21" s="2" t="s">
        <v>10</v>
      </c>
      <c r="E21" s="2">
        <v>950</v>
      </c>
      <c r="F21" s="2">
        <v>100</v>
      </c>
      <c r="G21" s="2">
        <v>100</v>
      </c>
      <c r="H21">
        <f>AVERAGE(F19,F24,F29)</f>
        <v>100</v>
      </c>
      <c r="I21">
        <f>_xlfn.STDEV.S(F19,F24,F29)</f>
        <v>0</v>
      </c>
      <c r="J21">
        <f>AVERAGE(G19,G24,G29)</f>
        <v>100</v>
      </c>
      <c r="K21">
        <f>_xlfn.STDEV.S(G19,G24,G29)</f>
        <v>0</v>
      </c>
      <c r="L21" s="5">
        <v>2</v>
      </c>
      <c r="M21" s="1" t="s">
        <v>8</v>
      </c>
    </row>
    <row r="22" spans="1:13" x14ac:dyDescent="0.35">
      <c r="A22" s="8"/>
      <c r="B22" s="2">
        <v>2</v>
      </c>
      <c r="C22" s="2">
        <v>0.5</v>
      </c>
      <c r="D22" s="2" t="s">
        <v>11</v>
      </c>
      <c r="E22" s="2">
        <v>1900</v>
      </c>
      <c r="F22" s="2">
        <v>100</v>
      </c>
      <c r="G22" s="2">
        <v>100</v>
      </c>
      <c r="H22">
        <f>AVERAGE(F20,F25,F30)</f>
        <v>100</v>
      </c>
      <c r="I22">
        <f>_xlfn.STDEV.S(F20,F25,F30)</f>
        <v>0</v>
      </c>
      <c r="J22">
        <f>AVERAGE(G20,G25,G30)</f>
        <v>100</v>
      </c>
      <c r="K22">
        <f>_xlfn.STDEV.S(G20,G25,G30)</f>
        <v>0</v>
      </c>
      <c r="L22" s="5">
        <v>2</v>
      </c>
      <c r="M22" s="1" t="s">
        <v>9</v>
      </c>
    </row>
    <row r="23" spans="1:13" x14ac:dyDescent="0.35">
      <c r="A23" s="9" t="s">
        <v>6</v>
      </c>
      <c r="B23" s="3">
        <v>2</v>
      </c>
      <c r="C23" s="3">
        <v>0.65</v>
      </c>
      <c r="D23" s="3" t="s">
        <v>7</v>
      </c>
      <c r="E23" s="3">
        <v>114</v>
      </c>
      <c r="F23" s="3"/>
      <c r="G23" s="3">
        <v>0</v>
      </c>
      <c r="H23">
        <f>AVERAGE(F21,F26,F31)</f>
        <v>100</v>
      </c>
      <c r="I23">
        <f>_xlfn.STDEV.S(F21,F26,F31)</f>
        <v>0</v>
      </c>
      <c r="J23">
        <f>AVERAGE(G21,G26,G31)</f>
        <v>100</v>
      </c>
      <c r="K23">
        <f>_xlfn.STDEV.S(G21,G26,G31)</f>
        <v>0</v>
      </c>
      <c r="L23" s="5">
        <v>2</v>
      </c>
      <c r="M23" s="1" t="s">
        <v>10</v>
      </c>
    </row>
    <row r="24" spans="1:13" x14ac:dyDescent="0.35">
      <c r="A24" s="9"/>
      <c r="B24" s="3">
        <v>2</v>
      </c>
      <c r="C24" s="3">
        <v>0.65</v>
      </c>
      <c r="D24" s="3" t="s">
        <v>8</v>
      </c>
      <c r="E24" s="3">
        <v>266</v>
      </c>
      <c r="F24" s="3">
        <v>100</v>
      </c>
      <c r="G24" s="3">
        <v>100</v>
      </c>
      <c r="H24">
        <f>AVERAGE(F22,F27,F32)</f>
        <v>100</v>
      </c>
      <c r="I24">
        <f>_xlfn.STDEV.S(F22,F27,F32)</f>
        <v>0</v>
      </c>
      <c r="J24">
        <f>AVERAGE(G22,G27,G32)</f>
        <v>100</v>
      </c>
      <c r="K24">
        <f>_xlfn.STDEV.S(G22,G27,G32)</f>
        <v>0</v>
      </c>
      <c r="L24" s="5">
        <v>2</v>
      </c>
      <c r="M24" s="1" t="s">
        <v>11</v>
      </c>
    </row>
    <row r="25" spans="1:13" x14ac:dyDescent="0.35">
      <c r="A25" s="9"/>
      <c r="B25" s="3">
        <v>2</v>
      </c>
      <c r="C25" s="3">
        <v>0.65</v>
      </c>
      <c r="D25" s="3" t="s">
        <v>9</v>
      </c>
      <c r="E25" s="3">
        <v>570</v>
      </c>
      <c r="F25" s="3">
        <v>100</v>
      </c>
      <c r="G25" s="3">
        <v>100</v>
      </c>
    </row>
    <row r="26" spans="1:13" x14ac:dyDescent="0.35">
      <c r="A26" s="9"/>
      <c r="B26" s="3">
        <v>2</v>
      </c>
      <c r="C26" s="3">
        <v>0.65</v>
      </c>
      <c r="D26" s="3" t="s">
        <v>10</v>
      </c>
      <c r="E26" s="3">
        <v>950</v>
      </c>
      <c r="F26" s="3">
        <v>100</v>
      </c>
      <c r="G26" s="3">
        <v>100</v>
      </c>
    </row>
    <row r="27" spans="1:13" x14ac:dyDescent="0.35">
      <c r="A27" s="9"/>
      <c r="B27" s="3">
        <v>2</v>
      </c>
      <c r="C27" s="3">
        <v>0.65</v>
      </c>
      <c r="D27" s="3" t="s">
        <v>11</v>
      </c>
      <c r="E27" s="3">
        <v>1900</v>
      </c>
      <c r="F27" s="3">
        <v>100</v>
      </c>
      <c r="G27" s="3">
        <v>100</v>
      </c>
    </row>
    <row r="28" spans="1:13" x14ac:dyDescent="0.35">
      <c r="A28" s="8" t="s">
        <v>6</v>
      </c>
      <c r="B28" s="2">
        <v>2</v>
      </c>
      <c r="C28" s="2">
        <v>0.8</v>
      </c>
      <c r="D28" s="2" t="s">
        <v>7</v>
      </c>
      <c r="E28" s="2">
        <v>114</v>
      </c>
      <c r="F28" s="2">
        <v>100</v>
      </c>
      <c r="G28" s="2">
        <v>100</v>
      </c>
    </row>
    <row r="29" spans="1:13" x14ac:dyDescent="0.35">
      <c r="A29" s="8"/>
      <c r="B29" s="2">
        <v>2</v>
      </c>
      <c r="C29" s="2">
        <v>0.8</v>
      </c>
      <c r="D29" s="2" t="s">
        <v>8</v>
      </c>
      <c r="E29" s="2">
        <v>266</v>
      </c>
      <c r="F29" s="2">
        <v>100</v>
      </c>
      <c r="G29" s="2">
        <v>100</v>
      </c>
    </row>
    <row r="30" spans="1:13" x14ac:dyDescent="0.35">
      <c r="A30" s="8"/>
      <c r="B30" s="2">
        <v>2</v>
      </c>
      <c r="C30" s="2">
        <v>0.8</v>
      </c>
      <c r="D30" s="2" t="s">
        <v>9</v>
      </c>
      <c r="E30" s="2">
        <v>570</v>
      </c>
      <c r="F30" s="2">
        <v>100</v>
      </c>
      <c r="G30" s="2">
        <v>100</v>
      </c>
    </row>
    <row r="31" spans="1:13" x14ac:dyDescent="0.35">
      <c r="A31" s="8"/>
      <c r="B31" s="2">
        <v>2</v>
      </c>
      <c r="C31" s="2">
        <v>0.8</v>
      </c>
      <c r="D31" s="2" t="s">
        <v>10</v>
      </c>
      <c r="E31" s="2">
        <v>950</v>
      </c>
      <c r="F31" s="2">
        <v>100</v>
      </c>
      <c r="G31" s="2">
        <v>100</v>
      </c>
    </row>
    <row r="32" spans="1:13" x14ac:dyDescent="0.35">
      <c r="A32" s="8"/>
      <c r="B32" s="2">
        <v>2</v>
      </c>
      <c r="C32" s="2">
        <v>0.8</v>
      </c>
      <c r="D32" s="2" t="s">
        <v>11</v>
      </c>
      <c r="E32" s="2">
        <v>1900</v>
      </c>
      <c r="F32" s="2">
        <v>100</v>
      </c>
      <c r="G32" s="2">
        <v>100</v>
      </c>
    </row>
    <row r="33" spans="1:13" x14ac:dyDescent="0.35">
      <c r="A33" s="4"/>
      <c r="B33" s="4"/>
      <c r="C33" s="4"/>
      <c r="D33" s="4"/>
      <c r="E33" s="4"/>
      <c r="F33" s="4"/>
      <c r="G33" s="4"/>
    </row>
    <row r="34" spans="1:13" x14ac:dyDescent="0.35">
      <c r="A34" s="8" t="s">
        <v>6</v>
      </c>
      <c r="B34" s="2">
        <v>3</v>
      </c>
      <c r="C34" s="2">
        <v>0.5</v>
      </c>
      <c r="D34" s="2" t="s">
        <v>7</v>
      </c>
      <c r="E34" s="2">
        <v>114</v>
      </c>
      <c r="F34" s="2">
        <v>100</v>
      </c>
      <c r="G34" s="2">
        <v>100</v>
      </c>
    </row>
    <row r="35" spans="1:13" x14ac:dyDescent="0.35">
      <c r="A35" s="8"/>
      <c r="B35" s="2">
        <v>3</v>
      </c>
      <c r="C35" s="2">
        <v>0.5</v>
      </c>
      <c r="D35" s="2" t="s">
        <v>8</v>
      </c>
      <c r="E35" s="2">
        <v>266</v>
      </c>
      <c r="F35" s="2">
        <v>100</v>
      </c>
      <c r="G35" s="2">
        <v>100</v>
      </c>
      <c r="H35" s="6" t="s">
        <v>3</v>
      </c>
      <c r="I35" s="6"/>
      <c r="J35" s="7" t="s">
        <v>4</v>
      </c>
      <c r="K35" s="7"/>
    </row>
    <row r="36" spans="1:13" x14ac:dyDescent="0.35">
      <c r="A36" s="8"/>
      <c r="B36" s="2">
        <v>3</v>
      </c>
      <c r="C36" s="2">
        <v>0.5</v>
      </c>
      <c r="D36" s="2" t="s">
        <v>9</v>
      </c>
      <c r="E36" s="2">
        <v>570</v>
      </c>
      <c r="F36" s="2">
        <v>100</v>
      </c>
      <c r="G36" s="2">
        <v>100</v>
      </c>
      <c r="H36" t="s">
        <v>21</v>
      </c>
      <c r="I36" t="s">
        <v>22</v>
      </c>
      <c r="J36" t="s">
        <v>21</v>
      </c>
      <c r="K36" t="s">
        <v>22</v>
      </c>
      <c r="L36" s="1" t="s">
        <v>20</v>
      </c>
    </row>
    <row r="37" spans="1:13" x14ac:dyDescent="0.35">
      <c r="A37" s="8"/>
      <c r="B37" s="2">
        <v>3</v>
      </c>
      <c r="C37" s="2">
        <v>0.5</v>
      </c>
      <c r="D37" s="2" t="s">
        <v>10</v>
      </c>
      <c r="E37" s="2">
        <v>950</v>
      </c>
      <c r="F37" s="2">
        <v>100</v>
      </c>
      <c r="G37" s="2">
        <v>100</v>
      </c>
      <c r="H37">
        <f>AVERAGE(F34,F39,F44)</f>
        <v>100</v>
      </c>
      <c r="I37">
        <f>_xlfn.STDEV.S(F34,F39,F44)</f>
        <v>0</v>
      </c>
      <c r="J37">
        <f>AVERAGE(G34,G39,G44)</f>
        <v>100</v>
      </c>
      <c r="K37">
        <f>_xlfn.STDEV.S(G34,G39,G44)</f>
        <v>0</v>
      </c>
      <c r="L37" s="5">
        <v>3</v>
      </c>
      <c r="M37" s="1" t="s">
        <v>7</v>
      </c>
    </row>
    <row r="38" spans="1:13" x14ac:dyDescent="0.35">
      <c r="A38" s="8"/>
      <c r="B38" s="2">
        <v>3</v>
      </c>
      <c r="C38" s="2">
        <v>0.5</v>
      </c>
      <c r="D38" s="2" t="s">
        <v>11</v>
      </c>
      <c r="E38" s="2">
        <v>1900</v>
      </c>
      <c r="F38" s="2">
        <v>100</v>
      </c>
      <c r="G38" s="2">
        <v>100</v>
      </c>
      <c r="H38">
        <f>AVERAGE(F35,F40,F45)</f>
        <v>100</v>
      </c>
      <c r="I38">
        <f>_xlfn.STDEV.S(F35,F40,F45)</f>
        <v>0</v>
      </c>
      <c r="J38">
        <f>AVERAGE(G35,G40,G45)</f>
        <v>100</v>
      </c>
      <c r="K38">
        <f>_xlfn.STDEV.S(G35,G40,G45)</f>
        <v>0</v>
      </c>
      <c r="L38" s="5">
        <v>3</v>
      </c>
      <c r="M38" s="1" t="s">
        <v>8</v>
      </c>
    </row>
    <row r="39" spans="1:13" x14ac:dyDescent="0.35">
      <c r="A39" s="9" t="s">
        <v>6</v>
      </c>
      <c r="B39" s="3">
        <v>3</v>
      </c>
      <c r="C39" s="3">
        <v>0.65</v>
      </c>
      <c r="D39" s="3" t="s">
        <v>7</v>
      </c>
      <c r="E39" s="3">
        <v>114</v>
      </c>
      <c r="F39" s="3">
        <v>100</v>
      </c>
      <c r="G39" s="3">
        <v>100</v>
      </c>
      <c r="H39">
        <f>AVERAGE(F36,F41,F46)</f>
        <v>100</v>
      </c>
      <c r="I39">
        <f>_xlfn.STDEV.S(F36,F41,F46)</f>
        <v>0</v>
      </c>
      <c r="J39">
        <f>AVERAGE(G36,G41,G46)</f>
        <v>100</v>
      </c>
      <c r="K39">
        <f>_xlfn.STDEV.S(G36,G41,G46)</f>
        <v>0</v>
      </c>
      <c r="L39" s="5">
        <v>3</v>
      </c>
      <c r="M39" s="1" t="s">
        <v>9</v>
      </c>
    </row>
    <row r="40" spans="1:13" x14ac:dyDescent="0.35">
      <c r="A40" s="9"/>
      <c r="B40" s="3">
        <v>3</v>
      </c>
      <c r="C40" s="3">
        <v>0.65</v>
      </c>
      <c r="D40" s="3" t="s">
        <v>8</v>
      </c>
      <c r="E40" s="3">
        <v>266</v>
      </c>
      <c r="F40" s="3">
        <v>100</v>
      </c>
      <c r="G40" s="3">
        <v>100</v>
      </c>
      <c r="H40">
        <f>AVERAGE(F37,F42,F47)</f>
        <v>100</v>
      </c>
      <c r="I40">
        <f>_xlfn.STDEV.S(F37,F42,F47)</f>
        <v>0</v>
      </c>
      <c r="J40">
        <f>AVERAGE(G37,G42,G47)</f>
        <v>100</v>
      </c>
      <c r="K40">
        <f>_xlfn.STDEV.S(G37,G42,G47)</f>
        <v>0</v>
      </c>
      <c r="L40" s="5">
        <v>3</v>
      </c>
      <c r="M40" s="1" t="s">
        <v>10</v>
      </c>
    </row>
    <row r="41" spans="1:13" x14ac:dyDescent="0.35">
      <c r="A41" s="9"/>
      <c r="B41" s="3">
        <v>3</v>
      </c>
      <c r="C41" s="3">
        <v>0.65</v>
      </c>
      <c r="D41" s="3" t="s">
        <v>9</v>
      </c>
      <c r="E41" s="3">
        <v>570</v>
      </c>
      <c r="F41" s="3">
        <v>100</v>
      </c>
      <c r="G41" s="3">
        <v>100</v>
      </c>
      <c r="H41">
        <f>AVERAGE(F38,F43,F48)</f>
        <v>100</v>
      </c>
      <c r="I41">
        <f>_xlfn.STDEV.S(F38,F43,F48)</f>
        <v>0</v>
      </c>
      <c r="J41">
        <f>AVERAGE(G38,G43,G48)</f>
        <v>100</v>
      </c>
      <c r="K41">
        <f>_xlfn.STDEV.S(G38,G43,G48)</f>
        <v>0</v>
      </c>
      <c r="L41" s="5">
        <v>3</v>
      </c>
      <c r="M41" s="1" t="s">
        <v>11</v>
      </c>
    </row>
    <row r="42" spans="1:13" x14ac:dyDescent="0.35">
      <c r="A42" s="9"/>
      <c r="B42" s="3">
        <v>3</v>
      </c>
      <c r="C42" s="3">
        <v>0.65</v>
      </c>
      <c r="D42" s="3" t="s">
        <v>10</v>
      </c>
      <c r="E42" s="3">
        <v>950</v>
      </c>
      <c r="F42" s="3">
        <v>100</v>
      </c>
      <c r="G42" s="3">
        <v>100</v>
      </c>
    </row>
    <row r="43" spans="1:13" x14ac:dyDescent="0.35">
      <c r="A43" s="9"/>
      <c r="B43" s="3">
        <v>3</v>
      </c>
      <c r="C43" s="3">
        <v>0.65</v>
      </c>
      <c r="D43" s="3" t="s">
        <v>11</v>
      </c>
      <c r="E43" s="3">
        <v>1900</v>
      </c>
      <c r="F43" s="3">
        <v>100</v>
      </c>
      <c r="G43" s="3">
        <v>100</v>
      </c>
    </row>
    <row r="44" spans="1:13" x14ac:dyDescent="0.35">
      <c r="A44" s="8" t="s">
        <v>6</v>
      </c>
      <c r="B44" s="2">
        <v>3</v>
      </c>
      <c r="C44" s="2">
        <v>0.8</v>
      </c>
      <c r="D44" s="2" t="s">
        <v>7</v>
      </c>
      <c r="E44" s="2">
        <v>114</v>
      </c>
      <c r="F44" s="2">
        <v>100</v>
      </c>
      <c r="G44" s="2">
        <v>100</v>
      </c>
    </row>
    <row r="45" spans="1:13" x14ac:dyDescent="0.35">
      <c r="A45" s="8"/>
      <c r="B45" s="2">
        <v>3</v>
      </c>
      <c r="C45" s="2">
        <v>0.8</v>
      </c>
      <c r="D45" s="2" t="s">
        <v>8</v>
      </c>
      <c r="E45" s="2">
        <v>266</v>
      </c>
      <c r="F45" s="2">
        <v>100</v>
      </c>
      <c r="G45" s="2">
        <v>100</v>
      </c>
    </row>
    <row r="46" spans="1:13" x14ac:dyDescent="0.35">
      <c r="A46" s="8"/>
      <c r="B46" s="2">
        <v>3</v>
      </c>
      <c r="C46" s="2">
        <v>0.8</v>
      </c>
      <c r="D46" s="2" t="s">
        <v>9</v>
      </c>
      <c r="E46" s="2">
        <v>570</v>
      </c>
      <c r="F46" s="2">
        <v>100</v>
      </c>
      <c r="G46" s="2">
        <v>100</v>
      </c>
    </row>
    <row r="47" spans="1:13" x14ac:dyDescent="0.35">
      <c r="A47" s="8"/>
      <c r="B47" s="2">
        <v>3</v>
      </c>
      <c r="C47" s="2">
        <v>0.8</v>
      </c>
      <c r="D47" s="2" t="s">
        <v>10</v>
      </c>
      <c r="E47" s="2">
        <v>950</v>
      </c>
      <c r="F47" s="2">
        <v>100</v>
      </c>
      <c r="G47" s="2">
        <v>100</v>
      </c>
    </row>
    <row r="48" spans="1:13" x14ac:dyDescent="0.35">
      <c r="A48" s="8"/>
      <c r="B48" s="2">
        <v>3</v>
      </c>
      <c r="C48" s="2">
        <v>0.8</v>
      </c>
      <c r="D48" s="2" t="s">
        <v>11</v>
      </c>
      <c r="E48" s="2">
        <v>1900</v>
      </c>
      <c r="F48" s="2">
        <v>100</v>
      </c>
      <c r="G48" s="2">
        <v>100</v>
      </c>
    </row>
    <row r="49" spans="1:13" x14ac:dyDescent="0.35">
      <c r="A49" s="4"/>
      <c r="B49" s="4"/>
      <c r="C49" s="4"/>
      <c r="D49" s="4"/>
      <c r="E49" s="4"/>
      <c r="F49" s="4"/>
      <c r="G49" s="4"/>
    </row>
    <row r="50" spans="1:13" x14ac:dyDescent="0.35">
      <c r="A50" s="8" t="s">
        <v>6</v>
      </c>
      <c r="B50" s="2">
        <v>4</v>
      </c>
      <c r="C50" s="2">
        <v>0.5</v>
      </c>
      <c r="D50" s="2" t="s">
        <v>7</v>
      </c>
      <c r="E50" s="2">
        <v>114</v>
      </c>
      <c r="F50" s="2">
        <v>100</v>
      </c>
      <c r="G50" s="2">
        <v>100</v>
      </c>
      <c r="H50" s="6" t="s">
        <v>3</v>
      </c>
      <c r="I50" s="6"/>
      <c r="J50" s="7" t="s">
        <v>4</v>
      </c>
      <c r="K50" s="7"/>
    </row>
    <row r="51" spans="1:13" x14ac:dyDescent="0.35">
      <c r="A51" s="8"/>
      <c r="B51" s="2">
        <v>4</v>
      </c>
      <c r="C51" s="2">
        <v>0.5</v>
      </c>
      <c r="D51" s="2" t="s">
        <v>8</v>
      </c>
      <c r="E51" s="2">
        <v>266</v>
      </c>
      <c r="F51" s="2">
        <v>100</v>
      </c>
      <c r="G51" s="2">
        <v>100</v>
      </c>
      <c r="H51" t="s">
        <v>21</v>
      </c>
      <c r="I51" t="s">
        <v>22</v>
      </c>
      <c r="J51" t="s">
        <v>21</v>
      </c>
      <c r="K51" t="s">
        <v>22</v>
      </c>
      <c r="L51" s="1" t="s">
        <v>20</v>
      </c>
    </row>
    <row r="52" spans="1:13" x14ac:dyDescent="0.35">
      <c r="A52" s="8"/>
      <c r="B52" s="2">
        <v>4</v>
      </c>
      <c r="C52" s="2">
        <v>0.5</v>
      </c>
      <c r="D52" s="2" t="s">
        <v>9</v>
      </c>
      <c r="E52" s="2">
        <v>570</v>
      </c>
      <c r="F52" s="2">
        <v>100</v>
      </c>
      <c r="G52" s="2">
        <v>100</v>
      </c>
      <c r="H52">
        <f>AVERAGE(F50,F55,F60)</f>
        <v>100</v>
      </c>
      <c r="I52">
        <f>_xlfn.STDEV.S(F50,F55,F60)</f>
        <v>0</v>
      </c>
      <c r="J52">
        <f>AVERAGE(G50,G55,G60)</f>
        <v>100</v>
      </c>
      <c r="K52">
        <f>_xlfn.STDEV.S(G50,G55,G60)</f>
        <v>0</v>
      </c>
      <c r="L52" s="5">
        <v>4</v>
      </c>
      <c r="M52" s="1" t="s">
        <v>7</v>
      </c>
    </row>
    <row r="53" spans="1:13" x14ac:dyDescent="0.35">
      <c r="A53" s="8"/>
      <c r="B53" s="2">
        <v>4</v>
      </c>
      <c r="C53" s="2">
        <v>0.5</v>
      </c>
      <c r="D53" s="2" t="s">
        <v>10</v>
      </c>
      <c r="E53" s="2">
        <v>950</v>
      </c>
      <c r="F53" s="2">
        <v>100</v>
      </c>
      <c r="G53" s="2">
        <v>100</v>
      </c>
      <c r="H53">
        <f>AVERAGE(F51,F56,F61)</f>
        <v>100</v>
      </c>
      <c r="I53">
        <f>_xlfn.STDEV.S(F51,F56,F61)</f>
        <v>0</v>
      </c>
      <c r="J53">
        <f>AVERAGE(G51,G56,G61)</f>
        <v>100</v>
      </c>
      <c r="K53">
        <f>_xlfn.STDEV.S(G51,G56,G61)</f>
        <v>0</v>
      </c>
      <c r="L53" s="5">
        <v>4</v>
      </c>
      <c r="M53" s="1" t="s">
        <v>8</v>
      </c>
    </row>
    <row r="54" spans="1:13" x14ac:dyDescent="0.35">
      <c r="A54" s="8"/>
      <c r="B54" s="2">
        <v>4</v>
      </c>
      <c r="C54" s="2">
        <v>0.5</v>
      </c>
      <c r="D54" s="2" t="s">
        <v>11</v>
      </c>
      <c r="E54" s="2">
        <v>1900</v>
      </c>
      <c r="F54" s="2">
        <v>100</v>
      </c>
      <c r="G54" s="2">
        <v>100</v>
      </c>
      <c r="H54">
        <f>AVERAGE(F52,F57,F62)</f>
        <v>97.433333333333337</v>
      </c>
      <c r="I54">
        <f>_xlfn.STDEV.S(F52,F57,F62)</f>
        <v>4.4455970727601199</v>
      </c>
      <c r="J54">
        <f>AVERAGE(G52,G57,G62)</f>
        <v>100</v>
      </c>
      <c r="K54">
        <f>_xlfn.STDEV.S(G52,G57,G62)</f>
        <v>0</v>
      </c>
      <c r="L54" s="5">
        <v>4</v>
      </c>
      <c r="M54" s="1" t="s">
        <v>9</v>
      </c>
    </row>
    <row r="55" spans="1:13" x14ac:dyDescent="0.35">
      <c r="A55" s="9" t="s">
        <v>6</v>
      </c>
      <c r="B55" s="3">
        <v>4</v>
      </c>
      <c r="C55" s="3">
        <v>0.65</v>
      </c>
      <c r="D55" s="3" t="s">
        <v>7</v>
      </c>
      <c r="E55" s="3">
        <v>114</v>
      </c>
      <c r="F55" s="3">
        <v>100</v>
      </c>
      <c r="G55" s="3">
        <v>100</v>
      </c>
      <c r="H55">
        <f>AVERAGE(F53,F58,F63)</f>
        <v>100</v>
      </c>
      <c r="I55">
        <f>_xlfn.STDEV.S(F53,F58,F63)</f>
        <v>0</v>
      </c>
      <c r="J55">
        <f>AVERAGE(G53,G58,G63)</f>
        <v>100</v>
      </c>
      <c r="K55">
        <f>_xlfn.STDEV.S(G53,G58,G63)</f>
        <v>0</v>
      </c>
      <c r="L55" s="5">
        <v>4</v>
      </c>
      <c r="M55" s="1" t="s">
        <v>10</v>
      </c>
    </row>
    <row r="56" spans="1:13" x14ac:dyDescent="0.35">
      <c r="A56" s="9"/>
      <c r="B56" s="3">
        <v>4</v>
      </c>
      <c r="C56" s="3">
        <v>0.65</v>
      </c>
      <c r="D56" s="3" t="s">
        <v>8</v>
      </c>
      <c r="E56" s="3">
        <v>266</v>
      </c>
      <c r="F56" s="3">
        <v>100</v>
      </c>
      <c r="G56" s="3">
        <v>100</v>
      </c>
      <c r="H56">
        <f>AVERAGE(F54,F59,F64)</f>
        <v>100</v>
      </c>
      <c r="I56">
        <f>_xlfn.STDEV.S(F54,F59,F64)</f>
        <v>0</v>
      </c>
      <c r="J56">
        <f>AVERAGE(G54,G59,G64)</f>
        <v>100</v>
      </c>
      <c r="K56">
        <f>_xlfn.STDEV.S(G54,G59,G64)</f>
        <v>0</v>
      </c>
      <c r="L56" s="5">
        <v>4</v>
      </c>
      <c r="M56" s="1" t="s">
        <v>11</v>
      </c>
    </row>
    <row r="57" spans="1:13" x14ac:dyDescent="0.35">
      <c r="A57" s="9"/>
      <c r="B57" s="3">
        <v>4</v>
      </c>
      <c r="C57" s="3">
        <v>0.65</v>
      </c>
      <c r="D57" s="3" t="s">
        <v>9</v>
      </c>
      <c r="E57" s="3">
        <v>570</v>
      </c>
      <c r="F57" s="3">
        <v>100</v>
      </c>
      <c r="G57" s="3">
        <v>100</v>
      </c>
    </row>
    <row r="58" spans="1:13" x14ac:dyDescent="0.35">
      <c r="A58" s="9"/>
      <c r="B58" s="3">
        <v>4</v>
      </c>
      <c r="C58" s="3">
        <v>0.65</v>
      </c>
      <c r="D58" s="3" t="s">
        <v>10</v>
      </c>
      <c r="E58" s="3">
        <v>950</v>
      </c>
      <c r="F58" s="3">
        <v>100</v>
      </c>
      <c r="G58" s="3">
        <v>100</v>
      </c>
    </row>
    <row r="59" spans="1:13" x14ac:dyDescent="0.35">
      <c r="A59" s="9"/>
      <c r="B59" s="3">
        <v>4</v>
      </c>
      <c r="C59" s="3">
        <v>0.65</v>
      </c>
      <c r="D59" s="3" t="s">
        <v>11</v>
      </c>
      <c r="E59" s="3">
        <v>1900</v>
      </c>
      <c r="F59" s="3">
        <v>100</v>
      </c>
      <c r="G59" s="3">
        <v>100</v>
      </c>
    </row>
    <row r="60" spans="1:13" x14ac:dyDescent="0.35">
      <c r="A60" s="8" t="s">
        <v>6</v>
      </c>
      <c r="B60" s="2">
        <v>4</v>
      </c>
      <c r="C60" s="2">
        <v>0.8</v>
      </c>
      <c r="D60" s="2" t="s">
        <v>7</v>
      </c>
      <c r="E60" s="2">
        <v>114</v>
      </c>
      <c r="F60" s="2">
        <v>100</v>
      </c>
      <c r="G60" s="2">
        <v>100</v>
      </c>
    </row>
    <row r="61" spans="1:13" x14ac:dyDescent="0.35">
      <c r="A61" s="8"/>
      <c r="B61" s="2">
        <v>4</v>
      </c>
      <c r="C61" s="2">
        <v>0.8</v>
      </c>
      <c r="D61" s="2" t="s">
        <v>8</v>
      </c>
      <c r="E61" s="2">
        <v>266</v>
      </c>
      <c r="F61" s="2">
        <v>100</v>
      </c>
      <c r="G61" s="2">
        <v>100</v>
      </c>
    </row>
    <row r="62" spans="1:13" x14ac:dyDescent="0.35">
      <c r="A62" s="8"/>
      <c r="B62" s="2">
        <v>4</v>
      </c>
      <c r="C62" s="2">
        <v>0.8</v>
      </c>
      <c r="D62" s="2" t="s">
        <v>9</v>
      </c>
      <c r="E62" s="2">
        <v>570</v>
      </c>
      <c r="F62" s="2">
        <v>92.3</v>
      </c>
      <c r="G62" s="2">
        <v>100</v>
      </c>
    </row>
    <row r="63" spans="1:13" x14ac:dyDescent="0.35">
      <c r="A63" s="8"/>
      <c r="B63" s="2">
        <v>4</v>
      </c>
      <c r="C63" s="2">
        <v>0.8</v>
      </c>
      <c r="D63" s="2" t="s">
        <v>10</v>
      </c>
      <c r="E63" s="2">
        <v>950</v>
      </c>
      <c r="F63" s="2">
        <v>100</v>
      </c>
      <c r="G63" s="2">
        <v>100</v>
      </c>
    </row>
    <row r="64" spans="1:13" x14ac:dyDescent="0.35">
      <c r="A64" s="8"/>
      <c r="B64" s="2">
        <v>4</v>
      </c>
      <c r="C64" s="2">
        <v>0.8</v>
      </c>
      <c r="D64" s="2" t="s">
        <v>11</v>
      </c>
      <c r="E64" s="2">
        <v>1900</v>
      </c>
      <c r="F64" s="2">
        <v>100</v>
      </c>
      <c r="G64" s="2">
        <v>100</v>
      </c>
    </row>
    <row r="65" spans="1:13" x14ac:dyDescent="0.35">
      <c r="A65" s="4"/>
      <c r="B65" s="4"/>
      <c r="C65" s="4"/>
      <c r="D65" s="4"/>
      <c r="E65" s="4"/>
      <c r="F65" s="4"/>
      <c r="G65" s="4"/>
    </row>
    <row r="66" spans="1:13" x14ac:dyDescent="0.35">
      <c r="A66" s="8" t="s">
        <v>6</v>
      </c>
      <c r="B66" s="2">
        <v>5</v>
      </c>
      <c r="C66" s="2">
        <v>0.5</v>
      </c>
      <c r="D66" s="2" t="s">
        <v>7</v>
      </c>
      <c r="E66" s="2">
        <v>114</v>
      </c>
      <c r="F66" s="2">
        <v>100</v>
      </c>
      <c r="G66" s="2">
        <v>100</v>
      </c>
    </row>
    <row r="67" spans="1:13" x14ac:dyDescent="0.35">
      <c r="A67" s="8"/>
      <c r="B67" s="2">
        <v>5</v>
      </c>
      <c r="C67" s="2">
        <v>0.5</v>
      </c>
      <c r="D67" s="2" t="s">
        <v>8</v>
      </c>
      <c r="E67" s="2">
        <v>266</v>
      </c>
      <c r="F67" s="2">
        <v>100</v>
      </c>
      <c r="G67" s="2">
        <v>100</v>
      </c>
      <c r="H67" s="6" t="s">
        <v>3</v>
      </c>
      <c r="I67" s="6"/>
      <c r="J67" s="7" t="s">
        <v>4</v>
      </c>
      <c r="K67" s="7"/>
    </row>
    <row r="68" spans="1:13" x14ac:dyDescent="0.35">
      <c r="A68" s="8"/>
      <c r="B68" s="2">
        <v>5</v>
      </c>
      <c r="C68" s="2">
        <v>0.5</v>
      </c>
      <c r="D68" s="2" t="s">
        <v>9</v>
      </c>
      <c r="E68" s="2">
        <v>570</v>
      </c>
      <c r="F68" s="2">
        <v>100</v>
      </c>
      <c r="G68" s="2">
        <v>100</v>
      </c>
      <c r="H68" t="s">
        <v>21</v>
      </c>
      <c r="I68" t="s">
        <v>22</v>
      </c>
      <c r="J68" t="s">
        <v>21</v>
      </c>
      <c r="K68" t="s">
        <v>22</v>
      </c>
      <c r="L68" s="1" t="s">
        <v>20</v>
      </c>
    </row>
    <row r="69" spans="1:13" x14ac:dyDescent="0.35">
      <c r="A69" s="8"/>
      <c r="B69" s="2">
        <v>5</v>
      </c>
      <c r="C69" s="2">
        <v>0.5</v>
      </c>
      <c r="D69" s="2" t="s">
        <v>10</v>
      </c>
      <c r="E69" s="2">
        <v>950</v>
      </c>
      <c r="F69" s="2">
        <v>100</v>
      </c>
      <c r="G69" s="2">
        <v>100</v>
      </c>
      <c r="H69">
        <f>AVERAGE(F66,F71,F76)</f>
        <v>100</v>
      </c>
      <c r="I69">
        <f>_xlfn.STDEV.S(F66,F71,F76)</f>
        <v>0</v>
      </c>
      <c r="J69">
        <f>AVERAGE(G66,G71,G76)</f>
        <v>100</v>
      </c>
      <c r="K69">
        <f>_xlfn.STDEV.S(G66,G71,G76)</f>
        <v>0</v>
      </c>
      <c r="L69" s="5">
        <v>5</v>
      </c>
      <c r="M69" s="1" t="s">
        <v>7</v>
      </c>
    </row>
    <row r="70" spans="1:13" x14ac:dyDescent="0.35">
      <c r="A70" s="8"/>
      <c r="B70" s="2">
        <v>5</v>
      </c>
      <c r="C70" s="2">
        <v>0.5</v>
      </c>
      <c r="D70" s="2" t="s">
        <v>11</v>
      </c>
      <c r="E70" s="2">
        <v>1900</v>
      </c>
      <c r="F70" s="2">
        <v>100</v>
      </c>
      <c r="G70" s="2">
        <v>100</v>
      </c>
      <c r="H70">
        <f>AVERAGE(F67,F72,F77)</f>
        <v>100</v>
      </c>
      <c r="I70">
        <f>_xlfn.STDEV.S(F67,F72,F77)</f>
        <v>0</v>
      </c>
      <c r="J70">
        <f>AVERAGE(G67,G72,G77)</f>
        <v>100</v>
      </c>
      <c r="K70">
        <f>_xlfn.STDEV.S(G67,G72,G77)</f>
        <v>0</v>
      </c>
      <c r="L70" s="5">
        <v>5</v>
      </c>
      <c r="M70" s="1" t="s">
        <v>8</v>
      </c>
    </row>
    <row r="71" spans="1:13" x14ac:dyDescent="0.35">
      <c r="A71" s="9" t="s">
        <v>6</v>
      </c>
      <c r="B71" s="3">
        <v>5</v>
      </c>
      <c r="C71" s="3">
        <v>0.65</v>
      </c>
      <c r="D71" s="3" t="s">
        <v>7</v>
      </c>
      <c r="E71" s="3">
        <v>114</v>
      </c>
      <c r="F71" s="3">
        <v>100</v>
      </c>
      <c r="G71" s="3">
        <v>100</v>
      </c>
      <c r="H71">
        <f>AVERAGE(F68,F73,F78)</f>
        <v>100</v>
      </c>
      <c r="I71">
        <f>_xlfn.STDEV.S(F68,F73,F78)</f>
        <v>0</v>
      </c>
      <c r="J71">
        <f>AVERAGE(G68,G73,G78)</f>
        <v>100</v>
      </c>
      <c r="K71">
        <f>_xlfn.STDEV.S(G68,G73,G78)</f>
        <v>0</v>
      </c>
      <c r="L71" s="5">
        <v>5</v>
      </c>
      <c r="M71" s="1" t="s">
        <v>9</v>
      </c>
    </row>
    <row r="72" spans="1:13" x14ac:dyDescent="0.35">
      <c r="A72" s="9"/>
      <c r="B72" s="3">
        <v>5</v>
      </c>
      <c r="C72" s="3">
        <v>0.65</v>
      </c>
      <c r="D72" s="3" t="s">
        <v>8</v>
      </c>
      <c r="E72" s="3">
        <v>266</v>
      </c>
      <c r="F72" s="3">
        <v>100</v>
      </c>
      <c r="G72" s="3">
        <v>100</v>
      </c>
      <c r="H72">
        <f>AVERAGE(F69,F74,F79)</f>
        <v>100</v>
      </c>
      <c r="I72">
        <f>_xlfn.STDEV.S(F69,F74,F79)</f>
        <v>0</v>
      </c>
      <c r="J72">
        <f>AVERAGE(G69,G74,G79)</f>
        <v>100</v>
      </c>
      <c r="K72">
        <f>_xlfn.STDEV.S(G69,G74,G79)</f>
        <v>0</v>
      </c>
      <c r="L72" s="5">
        <v>5</v>
      </c>
      <c r="M72" s="1" t="s">
        <v>10</v>
      </c>
    </row>
    <row r="73" spans="1:13" x14ac:dyDescent="0.35">
      <c r="A73" s="9"/>
      <c r="B73" s="3">
        <v>5</v>
      </c>
      <c r="C73" s="3">
        <v>0.65</v>
      </c>
      <c r="D73" s="3" t="s">
        <v>9</v>
      </c>
      <c r="E73" s="3">
        <v>570</v>
      </c>
      <c r="F73" s="3">
        <v>100</v>
      </c>
      <c r="G73" s="3">
        <v>100</v>
      </c>
      <c r="H73">
        <f>AVERAGE(F70,F75,F80)</f>
        <v>100</v>
      </c>
      <c r="I73">
        <f>_xlfn.STDEV.S(F70,F75,F80)</f>
        <v>0</v>
      </c>
      <c r="J73">
        <f>AVERAGE(G70,G75,G80)</f>
        <v>100</v>
      </c>
      <c r="K73">
        <f>_xlfn.STDEV.S(G70,G75,G80)</f>
        <v>0</v>
      </c>
      <c r="L73" s="5">
        <v>5</v>
      </c>
      <c r="M73" s="1" t="s">
        <v>11</v>
      </c>
    </row>
    <row r="74" spans="1:13" x14ac:dyDescent="0.35">
      <c r="A74" s="9"/>
      <c r="B74" s="3">
        <v>5</v>
      </c>
      <c r="C74" s="3">
        <v>0.65</v>
      </c>
      <c r="D74" s="3" t="s">
        <v>10</v>
      </c>
      <c r="E74" s="3">
        <v>950</v>
      </c>
      <c r="F74" s="3">
        <v>100</v>
      </c>
      <c r="G74" s="3">
        <v>100</v>
      </c>
    </row>
    <row r="75" spans="1:13" x14ac:dyDescent="0.35">
      <c r="A75" s="9"/>
      <c r="B75" s="3">
        <v>5</v>
      </c>
      <c r="C75" s="3">
        <v>0.65</v>
      </c>
      <c r="D75" s="3" t="s">
        <v>11</v>
      </c>
      <c r="E75" s="3">
        <v>1900</v>
      </c>
      <c r="F75" s="3">
        <v>100</v>
      </c>
      <c r="G75" s="3">
        <v>100</v>
      </c>
    </row>
    <row r="76" spans="1:13" x14ac:dyDescent="0.35">
      <c r="A76" s="8" t="s">
        <v>6</v>
      </c>
      <c r="B76" s="2">
        <v>5</v>
      </c>
      <c r="C76" s="2">
        <v>0.8</v>
      </c>
      <c r="D76" s="2" t="s">
        <v>7</v>
      </c>
      <c r="E76" s="2">
        <v>114</v>
      </c>
      <c r="F76" s="2">
        <v>100</v>
      </c>
      <c r="G76" s="2">
        <v>100</v>
      </c>
    </row>
    <row r="77" spans="1:13" x14ac:dyDescent="0.35">
      <c r="A77" s="8"/>
      <c r="B77" s="2">
        <v>5</v>
      </c>
      <c r="C77" s="2">
        <v>0.8</v>
      </c>
      <c r="D77" s="2" t="s">
        <v>8</v>
      </c>
      <c r="E77" s="2">
        <v>266</v>
      </c>
      <c r="F77" s="2">
        <v>100</v>
      </c>
      <c r="G77" s="2">
        <v>100</v>
      </c>
    </row>
    <row r="78" spans="1:13" x14ac:dyDescent="0.35">
      <c r="A78" s="8"/>
      <c r="B78" s="2">
        <v>5</v>
      </c>
      <c r="C78" s="2">
        <v>0.8</v>
      </c>
      <c r="D78" s="2" t="s">
        <v>9</v>
      </c>
      <c r="E78" s="2">
        <v>570</v>
      </c>
      <c r="F78" s="2">
        <v>100</v>
      </c>
      <c r="G78" s="2">
        <v>100</v>
      </c>
    </row>
    <row r="79" spans="1:13" x14ac:dyDescent="0.35">
      <c r="A79" s="8"/>
      <c r="B79" s="2">
        <v>5</v>
      </c>
      <c r="C79" s="2">
        <v>0.8</v>
      </c>
      <c r="D79" s="2" t="s">
        <v>10</v>
      </c>
      <c r="E79" s="2">
        <v>950</v>
      </c>
      <c r="F79" s="2">
        <v>100</v>
      </c>
      <c r="G79" s="2">
        <v>100</v>
      </c>
    </row>
    <row r="80" spans="1:13" x14ac:dyDescent="0.35">
      <c r="A80" s="8"/>
      <c r="B80" s="2">
        <v>5</v>
      </c>
      <c r="C80" s="2">
        <v>0.8</v>
      </c>
      <c r="D80" s="2" t="s">
        <v>11</v>
      </c>
      <c r="E80" s="2">
        <v>1900</v>
      </c>
      <c r="F80" s="2">
        <v>100</v>
      </c>
      <c r="G80" s="2">
        <v>100</v>
      </c>
    </row>
  </sheetData>
  <mergeCells count="28">
    <mergeCell ref="A66:A70"/>
    <mergeCell ref="A71:A75"/>
    <mergeCell ref="A76:A80"/>
    <mergeCell ref="A34:A38"/>
    <mergeCell ref="A39:A43"/>
    <mergeCell ref="A44:A48"/>
    <mergeCell ref="A50:A54"/>
    <mergeCell ref="A55:A59"/>
    <mergeCell ref="A60:A64"/>
    <mergeCell ref="A28:A32"/>
    <mergeCell ref="H1:I1"/>
    <mergeCell ref="J1:K1"/>
    <mergeCell ref="M3:M7"/>
    <mergeCell ref="H9:I9"/>
    <mergeCell ref="J9:K9"/>
    <mergeCell ref="H18:I18"/>
    <mergeCell ref="J18:K18"/>
    <mergeCell ref="A2:A6"/>
    <mergeCell ref="A7:A11"/>
    <mergeCell ref="A12:A16"/>
    <mergeCell ref="A18:A22"/>
    <mergeCell ref="A23:A27"/>
    <mergeCell ref="H35:I35"/>
    <mergeCell ref="J35:K35"/>
    <mergeCell ref="H50:I50"/>
    <mergeCell ref="J50:K50"/>
    <mergeCell ref="H67:I67"/>
    <mergeCell ref="J67:K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priority queue</vt:lpstr>
      <vt:lpstr>load balancing</vt:lpstr>
      <vt:lpstr>leader election</vt:lpstr>
      <vt:lpstr>discovery</vt:lpstr>
      <vt:lpstr>Cache-Aside</vt:lpstr>
      <vt:lpstr>api-gateway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 neda</dc:creator>
  <cp:lastModifiedBy>neda mohammadi</cp:lastModifiedBy>
  <dcterms:created xsi:type="dcterms:W3CDTF">2015-06-05T18:17:20Z</dcterms:created>
  <dcterms:modified xsi:type="dcterms:W3CDTF">2025-10-09T17:56:14Z</dcterms:modified>
</cp:coreProperties>
</file>